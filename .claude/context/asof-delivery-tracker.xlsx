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Phases" sheetId="2" state="visible" r:id="rId2"/>
    <sheet name="Tasks" sheetId="3" state="visible" r:id="rId3"/>
    <sheet name="Dev Backlog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9C0006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555555"/>
      <sz val="9"/>
    </font>
    <font>
      <name val="Arial"/>
      <charset val="1"/>
      <family val="0"/>
      <color rgb="FF006100"/>
      <sz val="10"/>
    </font>
    <font>
      <name val="Arial"/>
      <charset val="1"/>
      <family val="0"/>
      <color rgb="FF9C6500"/>
      <sz val="10"/>
    </font>
    <font>
      <name val="Arial"/>
      <charset val="1"/>
      <family val="0"/>
      <color rgb="FF9C0006"/>
      <sz val="10"/>
    </font>
    <font>
      <name val="Arial"/>
      <charset val="1"/>
      <family val="0"/>
      <b val="1"/>
      <color rgb="FF1F3864"/>
      <sz val="14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9" fontId="10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9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9" fontId="10" fillId="0" borderId="1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9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808080"/>
        <sz val="1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23" min="1" max="1"/>
    <col width="36" customWidth="1" style="23" min="2" max="2"/>
    <col width="13" customWidth="1" style="23" min="3" max="4"/>
    <col width="12" customWidth="1" style="23" min="5" max="5"/>
  </cols>
  <sheetData>
    <row r="1" ht="19.5" customHeight="1" s="24">
      <c r="A1" s="25" t="inlineStr">
        <is>
          <t>AsOf — Delivery Dashboard</t>
        </is>
      </c>
    </row>
    <row r="2" ht="15" customHeight="1" s="24">
      <c r="A2" s="26" t="inlineStr">
        <is>
          <t>The standup killer: detects drift between what the board says and what the code shows.</t>
        </is>
      </c>
    </row>
    <row r="3" ht="15" customHeight="1" s="24">
      <c r="A3" s="26" t="inlineStr">
        <is>
          <t>All cells on this sheet are computed — edit on the Phases and Tasks sheets only.</t>
        </is>
      </c>
    </row>
    <row r="5" ht="15" customHeight="1" s="24">
      <c r="A5" s="27" t="inlineStr">
        <is>
          <t>Overall progress</t>
        </is>
      </c>
      <c r="B5" s="28">
        <f>COUNTIF(Tasks!$D$5:$D$42,"Done")/COUNTA(Tasks!$B$5:$B$42)</f>
        <v/>
      </c>
      <c r="C5" s="26">
        <f>COUNTIF(Tasks!$D$5:$D$42,"Done")&amp;" of "&amp;COUNTA(Tasks!$B$5:$B$42)&amp;" tasks done"</f>
        <v/>
      </c>
    </row>
    <row r="6" ht="15" customHeight="1" s="24">
      <c r="A6" s="27" t="inlineStr">
        <is>
          <t>Phases completed</t>
        </is>
      </c>
      <c r="B6" s="29">
        <f>COUNTIF(Phases!$G$5:$G$13,"Done")&amp;" / "&amp;COUNTA(Phases!$A$5:$A$13)</f>
        <v/>
      </c>
    </row>
    <row r="7" ht="15" customHeight="1" s="24">
      <c r="A7" s="27" t="inlineStr">
        <is>
          <t>Blocked tasks</t>
        </is>
      </c>
      <c r="B7" s="30">
        <f>COUNTIF(Tasks!$D$5:$D$42,"Blocked")</f>
        <v/>
      </c>
    </row>
    <row r="9" ht="15" customHeight="1" s="24">
      <c r="A9" s="31" t="inlineStr">
        <is>
          <t>Phase</t>
        </is>
      </c>
      <c r="B9" s="31" t="inlineStr">
        <is>
          <t>Name</t>
        </is>
      </c>
      <c r="C9" s="31" t="inlineStr">
        <is>
          <t>Status</t>
        </is>
      </c>
      <c r="D9" s="31" t="inlineStr">
        <is>
          <t>Task Progress</t>
        </is>
      </c>
      <c r="E9" s="31" t="inlineStr">
        <is>
          <t>Target End</t>
        </is>
      </c>
    </row>
    <row r="10" ht="15" customHeight="1" s="24">
      <c r="A10" s="32">
        <f>Phases!A5</f>
        <v/>
      </c>
      <c r="B10" s="33">
        <f>Phases!B5</f>
        <v/>
      </c>
      <c r="C10" s="33">
        <f>Phases!G5</f>
        <v/>
      </c>
      <c r="D10" s="34">
        <f>Phases!H5</f>
        <v/>
      </c>
      <c r="E10" s="33">
        <f>Phases!F5</f>
        <v/>
      </c>
    </row>
    <row r="11" ht="15" customHeight="1" s="24">
      <c r="A11" s="32">
        <f>Phases!A6</f>
        <v/>
      </c>
      <c r="B11" s="33">
        <f>Phases!B6</f>
        <v/>
      </c>
      <c r="C11" s="33">
        <f>Phases!G6</f>
        <v/>
      </c>
      <c r="D11" s="34">
        <f>Phases!H6</f>
        <v/>
      </c>
      <c r="E11" s="33">
        <f>Phases!F6</f>
        <v/>
      </c>
    </row>
    <row r="12" ht="15" customHeight="1" s="24">
      <c r="A12" s="32">
        <f>Phases!A7</f>
        <v/>
      </c>
      <c r="B12" s="33">
        <f>Phases!B7</f>
        <v/>
      </c>
      <c r="C12" s="33">
        <f>Phases!G7</f>
        <v/>
      </c>
      <c r="D12" s="34">
        <f>Phases!H7</f>
        <v/>
      </c>
      <c r="E12" s="33">
        <f>Phases!F7</f>
        <v/>
      </c>
    </row>
    <row r="13" ht="15" customHeight="1" s="24">
      <c r="A13" s="32">
        <f>Phases!A8</f>
        <v/>
      </c>
      <c r="B13" s="33">
        <f>Phases!B8</f>
        <v/>
      </c>
      <c r="C13" s="33">
        <f>Phases!G8</f>
        <v/>
      </c>
      <c r="D13" s="34">
        <f>Phases!H8</f>
        <v/>
      </c>
      <c r="E13" s="33">
        <f>Phases!F8</f>
        <v/>
      </c>
    </row>
    <row r="14" ht="15" customHeight="1" s="24">
      <c r="A14" s="32">
        <f>Phases!A9</f>
        <v/>
      </c>
      <c r="B14" s="33">
        <f>Phases!B9</f>
        <v/>
      </c>
      <c r="C14" s="33">
        <f>Phases!G9</f>
        <v/>
      </c>
      <c r="D14" s="34">
        <f>Phases!H9</f>
        <v/>
      </c>
      <c r="E14" s="33">
        <f>Phases!F9</f>
        <v/>
      </c>
    </row>
    <row r="15" ht="15" customHeight="1" s="24">
      <c r="A15" s="32">
        <f>Phases!A10</f>
        <v/>
      </c>
      <c r="B15" s="33">
        <f>Phases!B10</f>
        <v/>
      </c>
      <c r="C15" s="33">
        <f>Phases!G10</f>
        <v/>
      </c>
      <c r="D15" s="34">
        <f>Phases!H10</f>
        <v/>
      </c>
      <c r="E15" s="33">
        <f>Phases!F10</f>
        <v/>
      </c>
    </row>
    <row r="16" ht="15" customHeight="1" s="24">
      <c r="A16" s="32">
        <f>Phases!A11</f>
        <v/>
      </c>
      <c r="B16" s="33">
        <f>Phases!B11</f>
        <v/>
      </c>
      <c r="C16" s="33">
        <f>Phases!G11</f>
        <v/>
      </c>
      <c r="D16" s="34">
        <f>Phases!H11</f>
        <v/>
      </c>
      <c r="E16" s="33">
        <f>Phases!F11</f>
        <v/>
      </c>
    </row>
    <row r="17" ht="15" customHeight="1" s="24">
      <c r="A17" s="32">
        <f>Phases!A12</f>
        <v/>
      </c>
      <c r="B17" s="33">
        <f>Phases!B12</f>
        <v/>
      </c>
      <c r="C17" s="33">
        <f>Phases!G12</f>
        <v/>
      </c>
      <c r="D17" s="34">
        <f>Phases!H12</f>
        <v/>
      </c>
      <c r="E17" s="33">
        <f>Phases!F12</f>
        <v/>
      </c>
    </row>
    <row r="18" ht="15" customHeight="1" s="24">
      <c r="A18" s="32">
        <f>Phases!A13</f>
        <v/>
      </c>
      <c r="B18" s="33">
        <f>Phases!B13</f>
        <v/>
      </c>
      <c r="C18" s="33">
        <f>Phases!G13</f>
        <v/>
      </c>
      <c r="D18" s="34">
        <f>Phases!H13</f>
        <v/>
      </c>
      <c r="E18" s="33">
        <f>Phases!F13</f>
        <v/>
      </c>
    </row>
    <row r="21" ht="15" customHeight="1" s="24">
      <c r="A21" s="27" t="inlineStr">
        <is>
          <t>How to use</t>
        </is>
      </c>
    </row>
    <row r="22" ht="15" customHeight="1" s="24">
      <c r="A22" s="35" t="inlineStr">
        <is>
          <t>• Amber cells (on Phases &amp; Tasks sheets) are the ones you edit; everything else is computed.</t>
        </is>
      </c>
    </row>
    <row r="23" ht="15" customHeight="1" s="24">
      <c r="A23" s="35" t="inlineStr">
        <is>
          <t>• Mark a task Done via the Status dropdown — phase progress and this dashboard update automatically.</t>
        </is>
      </c>
    </row>
    <row r="24" ht="15" customHeight="1" s="24">
      <c r="A24" s="35" t="inlineStr">
        <is>
          <t>• Mark a PHASE Done manually (Phases sheet, col G) only when its Exit Criteria are met; add the date in Completed On.</t>
        </is>
      </c>
    </row>
    <row r="25" ht="15" customHeight="1" s="24">
      <c r="A25" s="35" t="inlineStr">
        <is>
          <t>• Add new tasks as rows on the Tasks sheet (up to row 200 is wired) — just reuse the correct Phase ID.</t>
        </is>
      </c>
    </row>
    <row r="26" ht="15" customHeight="1" s="24">
      <c r="A26" s="35" t="inlineStr">
        <is>
          <t>• Dates are targets from the plan of 2026-08-06; adjust as reality lands. P1 tasks already reflect work completed.</t>
        </is>
      </c>
    </row>
    <row r="28" ht="15" customHeight="1" s="24">
      <c r="A28" s="27" t="inlineStr">
        <is>
          <t>Legend:</t>
        </is>
      </c>
      <c r="B28" s="36" t="inlineStr">
        <is>
          <t>You edit</t>
        </is>
      </c>
      <c r="C28" s="37" t="inlineStr">
        <is>
          <t>Done</t>
        </is>
      </c>
      <c r="D28" s="38" t="inlineStr">
        <is>
          <t>In Progress</t>
        </is>
      </c>
      <c r="E28" s="39" t="inlineStr">
        <is>
          <t>Blocked</t>
        </is>
      </c>
    </row>
  </sheetData>
  <mergeCells count="5">
    <mergeCell ref="A26:E26"/>
    <mergeCell ref="A24:E24"/>
    <mergeCell ref="A25:E25"/>
    <mergeCell ref="A23:E23"/>
    <mergeCell ref="A22:E22"/>
  </mergeCells>
  <conditionalFormatting sqref="C10:C18">
    <cfRule type="cellIs" rank="0" priority="2" equalAverage="0" operator="equal" aboveAverage="0" dxfId="0" text="" percent="0" bottom="0">
      <formula>"Done"</formula>
    </cfRule>
    <cfRule type="cellIs" rank="0" priority="3" equalAverage="0" operator="equal" aboveAverage="0" dxfId="1" text="" percent="0" bottom="0">
      <formula>"In Progress"</formula>
    </cfRule>
    <cfRule type="cellIs" rank="0" priority="4" equalAverage="0" operator="equal" aboveAverage="0" dxfId="2" text="" percent="0" bottom="0">
      <formula>"Blocked"</formula>
    </cfRule>
    <cfRule type="cellIs" rank="0" priority="5" equalAverage="0" operator="equal" aboveAverage="0" dxfId="3" text="" percent="0" bottom="0">
      <formula>"Not Started"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3" min="1" max="1"/>
    <col width="30" customWidth="1" style="23" min="2" max="2"/>
    <col width="44" customWidth="1" style="23" min="3" max="3"/>
    <col width="46" customWidth="1" style="23" min="4" max="4"/>
    <col width="12" customWidth="1" style="23" min="5" max="6"/>
    <col width="13" customWidth="1" style="23" min="7" max="7"/>
    <col width="12" customWidth="1" style="23" min="8" max="8"/>
    <col width="13" customWidth="1" style="23" min="9" max="9"/>
  </cols>
  <sheetData>
    <row r="1" ht="17.25" customHeight="1" s="24">
      <c r="A1" s="40" t="inlineStr">
        <is>
          <t>AsOf — Delivery Phases</t>
        </is>
      </c>
    </row>
    <row r="2" ht="15" customHeight="1" s="24">
      <c r="A2" s="26" t="inlineStr">
        <is>
          <t>Phase Status is your manual call (dropdown) — mark Done when exit criteria are met. Task Progress is computed automatically from the Tasks sheet.</t>
        </is>
      </c>
    </row>
    <row r="4" ht="23.25" customHeight="1" s="24">
      <c r="A4" s="31" t="inlineStr">
        <is>
          <t>Phase ID</t>
        </is>
      </c>
      <c r="B4" s="31" t="inlineStr">
        <is>
          <t>Phase</t>
        </is>
      </c>
      <c r="C4" s="31" t="inlineStr">
        <is>
          <t>Objective</t>
        </is>
      </c>
      <c r="D4" s="31" t="inlineStr">
        <is>
          <t>Exit Criteria (Definition of Done)</t>
        </is>
      </c>
      <c r="E4" s="31" t="inlineStr">
        <is>
          <t>Target Start</t>
        </is>
      </c>
      <c r="F4" s="31" t="inlineStr">
        <is>
          <t>Target End</t>
        </is>
      </c>
      <c r="G4" s="31" t="inlineStr">
        <is>
          <t>Phase Status</t>
        </is>
      </c>
      <c r="H4" s="31" t="inlineStr">
        <is>
          <t>Task Progress</t>
        </is>
      </c>
      <c r="I4" s="31" t="inlineStr">
        <is>
          <t>Completed On</t>
        </is>
      </c>
    </row>
    <row r="5" ht="23.25" customHeight="1" s="24">
      <c r="A5" s="41" t="inlineStr">
        <is>
          <t>P1</t>
        </is>
      </c>
      <c r="B5" s="41" t="inlineStr">
        <is>
          <t>Requirement Gathering &amp; Validation</t>
        </is>
      </c>
      <c r="C5" s="42" t="inlineStr">
        <is>
          <t>Lock the problem, personas, drift-rule spec, and MVP cut-line; recruit design partners</t>
        </is>
      </c>
      <c r="D5" s="42" t="inlineStr">
        <is>
          <t>Product plan approved; D1-D8 rules specified; 3 design-partner leads verbally committed</t>
        </is>
      </c>
      <c r="E5" s="43" t="inlineStr">
        <is>
          <t>2026-08-03</t>
        </is>
      </c>
      <c r="F5" s="43" t="inlineStr">
        <is>
          <t>2026-08-14</t>
        </is>
      </c>
      <c r="G5" s="43" t="inlineStr">
        <is>
          <t>Done</t>
        </is>
      </c>
      <c r="H5" s="44">
        <f>IF(COUNTIF(Tasks!$A$5:$A$200,A5)=0,"—",COUNTIFS(Tasks!$A$5:$A$200,A5,Tasks!$D$5:$D$200,"Done")/COUNTIF(Tasks!$A$5:$A$200,A5))</f>
        <v/>
      </c>
      <c r="I5" s="43" t="inlineStr">
        <is>
          <t>2026-08-06</t>
        </is>
      </c>
    </row>
    <row r="6" ht="23.25" customHeight="1" s="24">
      <c r="A6" s="41" t="inlineStr">
        <is>
          <t>P2</t>
        </is>
      </c>
      <c r="B6" s="41" t="inlineStr">
        <is>
          <t>Design</t>
        </is>
      </c>
      <c r="C6" s="42" t="inlineStr">
        <is>
          <t>UX flows for 4 screens, hand-written perfect brief, data model, architecture sign-off</t>
        </is>
      </c>
      <c r="D6" s="42" t="inlineStr">
        <is>
          <t>Clickable flow map; one great example brief written by hand; schema + architecture doc frozen</t>
        </is>
      </c>
      <c r="E6" s="43" t="inlineStr">
        <is>
          <t>2026-08-10</t>
        </is>
      </c>
      <c r="F6" s="43" t="inlineStr">
        <is>
          <t>2026-08-21</t>
        </is>
      </c>
      <c r="G6" s="43" t="inlineStr">
        <is>
          <t>Done</t>
        </is>
      </c>
      <c r="H6" s="44">
        <f>IF(COUNTIF(Tasks!$A$5:$A$200,A6)=0,"—",COUNTIFS(Tasks!$A$5:$A$200,A6,Tasks!$D$5:$D$200,"Done")/COUNTIF(Tasks!$A$5:$A$200,A6))</f>
        <v/>
      </c>
      <c r="I6" s="43" t="inlineStr">
        <is>
          <t>2026-08-06</t>
        </is>
      </c>
    </row>
    <row r="7" ht="23.25" customHeight="1" s="24">
      <c r="A7" s="41" t="inlineStr">
        <is>
          <t>P3</t>
        </is>
      </c>
      <c r="B7" s="41" t="inlineStr">
        <is>
          <t>Prototype (Phase 0)</t>
        </is>
      </c>
      <c r="C7" s="42" t="inlineStr">
        <is>
          <t>CLI proof: pull real Jira + GitHub data, run rules D1-D3, Claude narrates a brief</t>
        </is>
      </c>
      <c r="D7" s="42" t="inlineStr">
        <is>
          <t>Findings from a real team's data judged useful by its lead; go/no-go on signal quality</t>
        </is>
      </c>
      <c r="E7" s="43" t="inlineStr">
        <is>
          <t>2026-08-17</t>
        </is>
      </c>
      <c r="F7" s="43" t="inlineStr">
        <is>
          <t>2026-08-28</t>
        </is>
      </c>
      <c r="G7" s="43" t="inlineStr">
        <is>
          <t>In Progress</t>
        </is>
      </c>
      <c r="H7" s="44">
        <f>IF(COUNTIF(Tasks!$A$5:$A$200,A7)=0,"—",COUNTIFS(Tasks!$A$5:$A$200,A7,Tasks!$D$5:$D$200,"Done")/COUNTIF(Tasks!$A$5:$A$200,A7))</f>
        <v/>
      </c>
      <c r="I7" s="43" t="n"/>
    </row>
    <row r="8" ht="34.5" customHeight="1" s="24">
      <c r="A8" s="41" t="inlineStr">
        <is>
          <t>P4</t>
        </is>
      </c>
      <c r="B8" s="41" t="inlineStr">
        <is>
          <t>MVP Build</t>
        </is>
      </c>
      <c r="C8" s="42" t="inlineStr">
        <is>
          <t>Connectors, sync, drift engine (8 rules), chat Q&amp;A, morning brief, standup view, feedback loop, transparency page</t>
        </is>
      </c>
      <c r="D8" s="42" t="inlineStr">
        <is>
          <t>All FR-1..FR-8 demoable end-to-end on a live team; NFR latency + cost targets met in dev</t>
        </is>
      </c>
      <c r="E8" s="43" t="inlineStr">
        <is>
          <t>2026-08-31</t>
        </is>
      </c>
      <c r="F8" s="43" t="inlineStr">
        <is>
          <t>2026-10-09</t>
        </is>
      </c>
      <c r="G8" s="43" t="inlineStr">
        <is>
          <t>Not Started</t>
        </is>
      </c>
      <c r="H8" s="44">
        <f>IF(COUNTIF(Tasks!$A$5:$A$200,A8)=0,"—",COUNTIFS(Tasks!$A$5:$A$200,A8,Tasks!$D$5:$D$200,"Done")/COUNTIF(Tasks!$A$5:$A$200,A8))</f>
        <v/>
      </c>
      <c r="I8" s="43" t="n"/>
    </row>
    <row r="9" ht="23.25" customHeight="1" s="24">
      <c r="A9" s="41" t="inlineStr">
        <is>
          <t>P5</t>
        </is>
      </c>
      <c r="B9" s="41" t="inlineStr">
        <is>
          <t>Internal Testing &amp; QA</t>
        </is>
      </c>
      <c r="C9" s="42" t="inlineStr">
        <is>
          <t>Fixture tests for every rule, precision tuning, security pass (token handling, tenant isolation)</t>
        </is>
      </c>
      <c r="D9" s="42" t="inlineStr">
        <is>
          <t>Rule test suite green; flag precision &gt;= 80% on internal team; no P0/P1 security findings</t>
        </is>
      </c>
      <c r="E9" s="43" t="inlineStr">
        <is>
          <t>2026-10-05</t>
        </is>
      </c>
      <c r="F9" s="43" t="inlineStr">
        <is>
          <t>2026-10-16</t>
        </is>
      </c>
      <c r="G9" s="43" t="inlineStr">
        <is>
          <t>Not Started</t>
        </is>
      </c>
      <c r="H9" s="44">
        <f>IF(COUNTIF(Tasks!$A$5:$A$200,A9)=0,"—",COUNTIFS(Tasks!$A$5:$A$200,A9,Tasks!$D$5:$D$200,"Done")/COUNTIF(Tasks!$A$5:$A$200,A9))</f>
        <v/>
      </c>
      <c r="I9" s="43" t="n"/>
    </row>
    <row r="10" ht="23.25" customHeight="1" s="24">
      <c r="A10" s="41" t="inlineStr">
        <is>
          <t>P6</t>
        </is>
      </c>
      <c r="B10" s="41" t="inlineStr">
        <is>
          <t>Design-Partner Beta</t>
        </is>
      </c>
      <c r="C10" s="42" t="inlineStr">
        <is>
          <t>3-5 teams live, free; weekly feedback loop; tune thresholds per team</t>
        </is>
      </c>
      <c r="D10" s="42" t="inlineStr">
        <is>
          <t>&gt;= 2 teams cancel standup &gt;= 3 days/week; precision &gt;= 80% sustained 2 weeks</t>
        </is>
      </c>
      <c r="E10" s="43" t="inlineStr">
        <is>
          <t>2026-10-19</t>
        </is>
      </c>
      <c r="F10" s="43" t="inlineStr">
        <is>
          <t>2026-11-27</t>
        </is>
      </c>
      <c r="G10" s="43" t="inlineStr">
        <is>
          <t>Not Started</t>
        </is>
      </c>
      <c r="H10" s="44">
        <f>IF(COUNTIF(Tasks!$A$5:$A$200,A10)=0,"—",COUNTIFS(Tasks!$A$5:$A$200,A10,Tasks!$D$5:$D$200,"Done")/COUNTIF(Tasks!$A$5:$A$200,A10))</f>
        <v/>
      </c>
      <c r="I10" s="43" t="n"/>
    </row>
    <row r="11" ht="23.25" customHeight="1" s="24">
      <c r="A11" s="41" t="inlineStr">
        <is>
          <t>P7</t>
        </is>
      </c>
      <c r="B11" s="41" t="inlineStr">
        <is>
          <t>Hardening &amp; Pre-Production</t>
        </is>
      </c>
      <c r="C11" s="42" t="inlineStr">
        <is>
          <t>Monitoring/alerting, cost controls, backup + deletion pipeline (24h purge), SOC2-posture checklist</t>
        </is>
      </c>
      <c r="D11" s="42" t="inlineStr">
        <is>
          <t>Runbook exists; tenant purge verified &lt;= 24h; error budget + on-call defined</t>
        </is>
      </c>
      <c r="E11" s="43" t="inlineStr">
        <is>
          <t>2026-11-23</t>
        </is>
      </c>
      <c r="F11" s="43" t="inlineStr">
        <is>
          <t>2026-12-04</t>
        </is>
      </c>
      <c r="G11" s="43" t="inlineStr">
        <is>
          <t>Not Started</t>
        </is>
      </c>
      <c r="H11" s="44">
        <f>IF(COUNTIF(Tasks!$A$5:$A$200,A11)=0,"—",COUNTIFS(Tasks!$A$5:$A$200,A11,Tasks!$D$5:$D$200,"Done")/COUNTIF(Tasks!$A$5:$A$200,A11))</f>
        <v/>
      </c>
      <c r="I11" s="43" t="n"/>
    </row>
    <row r="12" ht="23.25" customHeight="1" s="24">
      <c r="A12" s="41" t="inlineStr">
        <is>
          <t>P8</t>
        </is>
      </c>
      <c r="B12" s="41" t="inlineStr">
        <is>
          <t>Production Deployment &amp; Launch</t>
        </is>
      </c>
      <c r="C12" s="42" t="inlineStr">
        <is>
          <t>Billing ($49/team/mo), marketing site with privacy commitments verbatim, public launch</t>
        </is>
      </c>
      <c r="D12" s="42" t="inlineStr">
        <is>
          <t>First paying team live in production; launch post published; support channel open</t>
        </is>
      </c>
      <c r="E12" s="43" t="inlineStr">
        <is>
          <t>2026-12-07</t>
        </is>
      </c>
      <c r="F12" s="43" t="inlineStr">
        <is>
          <t>2026-12-18</t>
        </is>
      </c>
      <c r="G12" s="43" t="inlineStr">
        <is>
          <t>Not Started</t>
        </is>
      </c>
      <c r="H12" s="44">
        <f>IF(COUNTIF(Tasks!$A$5:$A$200,A12)=0,"—",COUNTIFS(Tasks!$A$5:$A$200,A12,Tasks!$D$5:$D$200,"Done")/COUNTIF(Tasks!$A$5:$A$200,A12))</f>
        <v/>
      </c>
      <c r="I12" s="43" t="n"/>
    </row>
    <row r="13" ht="23.25" customHeight="1" s="24">
      <c r="A13" s="41" t="inlineStr">
        <is>
          <t>P9</t>
        </is>
      </c>
      <c r="B13" s="41" t="inlineStr">
        <is>
          <t>Post-Launch Operations (ongoing)</t>
        </is>
      </c>
      <c r="C13" s="42" t="inlineStr">
        <is>
          <t>Retention tracking, weekly precision review, v1.1 planning (voice brief, Slack signals, Linear)</t>
        </is>
      </c>
      <c r="D13" s="42" t="inlineStr">
        <is>
          <t>Ongoing - reviewed weekly against North-star metric (standups cancelled/team/week)</t>
        </is>
      </c>
      <c r="E13" s="43" t="inlineStr">
        <is>
          <t>2026-12-21</t>
        </is>
      </c>
      <c r="F13" s="43" t="n"/>
      <c r="G13" s="43" t="inlineStr">
        <is>
          <t>Not Started</t>
        </is>
      </c>
      <c r="H13" s="44">
        <f>IF(COUNTIF(Tasks!$A$5:$A$200,A13)=0,"—",COUNTIFS(Tasks!$A$5:$A$200,A13,Tasks!$D$5:$D$200,"Done")/COUNTIF(Tasks!$A$5:$A$200,A13))</f>
        <v/>
      </c>
      <c r="I13" s="43" t="n"/>
    </row>
  </sheetData>
  <conditionalFormatting sqref="G5:G13">
    <cfRule type="cellIs" rank="0" priority="2" equalAverage="0" operator="equal" aboveAverage="0" dxfId="0" text="" percent="0" bottom="0">
      <formula>"Done"</formula>
    </cfRule>
    <cfRule type="cellIs" rank="0" priority="3" equalAverage="0" operator="equal" aboveAverage="0" dxfId="1" text="" percent="0" bottom="0">
      <formula>"In Progress"</formula>
    </cfRule>
    <cfRule type="cellIs" rank="0" priority="4" equalAverage="0" operator="equal" aboveAverage="0" dxfId="2" text="" percent="0" bottom="0">
      <formula>"Blocked"</formula>
    </cfRule>
    <cfRule type="cellIs" rank="0" priority="5" equalAverage="0" operator="equal" aboveAverage="0" dxfId="3" text="" percent="0" bottom="0">
      <formula>"Not Started"</formula>
    </cfRule>
  </conditionalFormatting>
  <dataValidations count="1">
    <dataValidation sqref="G5:G13" showDropDown="0" showInputMessage="0" showErrorMessage="0" allowBlank="1" type="list" errorStyle="stop" operator="between">
      <formula1>"Not Started,In Progress,Blocked,Done"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3" min="1" max="1"/>
    <col width="52" customWidth="1" style="23" min="2" max="2"/>
    <col width="10" customWidth="1" style="23" min="3" max="3"/>
    <col width="13" customWidth="1" style="23" min="4" max="4"/>
    <col width="12" customWidth="1" style="23" min="5" max="5"/>
    <col width="40" customWidth="1" style="23" min="6" max="6"/>
  </cols>
  <sheetData>
    <row r="1" ht="17.25" customHeight="1" s="24">
      <c r="A1" s="40" t="inlineStr">
        <is>
          <t>AsOf — Task Tracker</t>
        </is>
      </c>
    </row>
    <row r="2" ht="15" customHeight="1" s="24">
      <c r="A2" s="26" t="inlineStr">
        <is>
          <t>Edit the amber columns: Status (dropdown), Owner, Due, Notes. Add rows freely — keep Phase IDs matching the Phases sheet.</t>
        </is>
      </c>
    </row>
    <row r="4" ht="15" customHeight="1" s="24">
      <c r="A4" s="31" t="inlineStr">
        <is>
          <t>Phase ID</t>
        </is>
      </c>
      <c r="B4" s="31" t="inlineStr">
        <is>
          <t>Task</t>
        </is>
      </c>
      <c r="C4" s="31" t="inlineStr">
        <is>
          <t>Owner</t>
        </is>
      </c>
      <c r="D4" s="31" t="inlineStr">
        <is>
          <t>Status</t>
        </is>
      </c>
      <c r="E4" s="31" t="inlineStr">
        <is>
          <t>Due Date</t>
        </is>
      </c>
      <c r="F4" s="31" t="inlineStr">
        <is>
          <t>Notes</t>
        </is>
      </c>
    </row>
    <row r="5" ht="15" customHeight="1" s="24">
      <c r="A5" s="41" t="inlineStr">
        <is>
          <t>P1</t>
        </is>
      </c>
      <c r="B5" s="42" t="inlineStr">
        <is>
          <t>Write and approve product plan v1.0</t>
        </is>
      </c>
      <c r="C5" s="43" t="inlineStr">
        <is>
          <t>You</t>
        </is>
      </c>
      <c r="D5" s="43" t="inlineStr">
        <is>
          <t>Done</t>
        </is>
      </c>
      <c r="E5" s="43" t="inlineStr">
        <is>
          <t>2026-08-06</t>
        </is>
      </c>
      <c r="F5" s="43" t="inlineStr">
        <is>
          <t>asof-product-plan.md in project knowledge</t>
        </is>
      </c>
    </row>
    <row r="6" ht="23.25" customHeight="1" s="24">
      <c r="A6" s="41" t="inlineStr">
        <is>
          <t>P1</t>
        </is>
      </c>
      <c r="B6" s="42" t="inlineStr">
        <is>
          <t>Competitive scan (Swarmia, LinearB, standup bots, Stepsize)</t>
        </is>
      </c>
      <c r="C6" s="43" t="inlineStr">
        <is>
          <t>You</t>
        </is>
      </c>
      <c r="D6" s="43" t="inlineStr">
        <is>
          <t>Done</t>
        </is>
      </c>
      <c r="E6" s="43" t="inlineStr">
        <is>
          <t>2026-08-06</t>
        </is>
      </c>
      <c r="F6" s="43" t="inlineStr">
        <is>
          <t>Gap confirmed: adversarial cross-checking, conversational</t>
        </is>
      </c>
    </row>
    <row r="7" ht="15" customHeight="1" s="24">
      <c r="A7" s="41" t="inlineStr">
        <is>
          <t>P1</t>
        </is>
      </c>
      <c r="B7" s="42" t="inlineStr">
        <is>
          <t>Name + domain decision (AsOf)</t>
        </is>
      </c>
      <c r="C7" s="43" t="inlineStr">
        <is>
          <t>You</t>
        </is>
      </c>
      <c r="D7" s="43" t="inlineStr">
        <is>
          <t>Done</t>
        </is>
      </c>
      <c r="E7" s="43" t="inlineStr">
        <is>
          <t>2026-08-06</t>
        </is>
      </c>
      <c r="F7" s="43" t="inlineStr">
        <is>
          <t>Check asof.dev / asof.app / getasof.com</t>
        </is>
      </c>
    </row>
    <row r="8" ht="15" customHeight="1" s="24">
      <c r="A8" s="41" t="inlineStr">
        <is>
          <t>P1</t>
        </is>
      </c>
      <c r="B8" s="42" t="inlineStr">
        <is>
          <t>Specify drift rules D1-D8 (conditions, thresholds, severity)</t>
        </is>
      </c>
      <c r="C8" s="43" t="inlineStr">
        <is>
          <t>You</t>
        </is>
      </c>
      <c r="D8" s="43" t="inlineStr">
        <is>
          <t>Done</t>
        </is>
      </c>
      <c r="E8" s="43" t="inlineStr">
        <is>
          <t>2026-08-12</t>
        </is>
      </c>
      <c r="F8" s="43" t="inlineStr">
        <is>
          <t>asof-drift-rules-spec.md — conditions, thresholds, evidence, templates, FP traps</t>
        </is>
      </c>
    </row>
    <row r="9" ht="15" customHeight="1" s="24">
      <c r="A9" s="41" t="inlineStr">
        <is>
          <t>P1</t>
        </is>
      </c>
      <c r="B9" s="42" t="inlineStr">
        <is>
          <t>Recruit 3 design-partner team leads</t>
        </is>
      </c>
      <c r="C9" s="43" t="inlineStr">
        <is>
          <t>You</t>
        </is>
      </c>
      <c r="D9" s="43" t="inlineStr">
        <is>
          <t>Done</t>
        </is>
      </c>
      <c r="E9" s="43" t="inlineStr">
        <is>
          <t>2026-08-14</t>
        </is>
      </c>
      <c r="F9" s="43" t="inlineStr">
        <is>
          <t>3 team leads committed (assumed 2026-08-06) — capture names/teams before P6 onboarding</t>
        </is>
      </c>
    </row>
    <row r="10" ht="15" customHeight="1" s="24">
      <c r="A10" s="41" t="inlineStr">
        <is>
          <t>P1</t>
        </is>
      </c>
      <c r="B10" s="42" t="inlineStr">
        <is>
          <t>Trademark / handle availability check</t>
        </is>
      </c>
      <c r="C10" s="43" t="inlineStr">
        <is>
          <t>You</t>
        </is>
      </c>
      <c r="D10" s="43" t="inlineStr">
        <is>
          <t>Done</t>
        </is>
      </c>
      <c r="E10" s="43" t="inlineStr">
        <is>
          <t>2026-08-14</t>
        </is>
      </c>
      <c r="F10" s="43" t="inlineStr">
        <is>
          <t>No dev-tool conflicts found; grab getasof.com / useasof.com / asof.app; formal TM search at incorporation</t>
        </is>
      </c>
    </row>
    <row r="11" ht="15" customHeight="1" s="24">
      <c r="A11" s="41" t="inlineStr">
        <is>
          <t>P2</t>
        </is>
      </c>
      <c r="B11" s="42" t="inlineStr">
        <is>
          <t>Hand-write one perfect morning brief (the north-star artifact)</t>
        </is>
      </c>
      <c r="C11" s="43" t="inlineStr">
        <is>
          <t>You</t>
        </is>
      </c>
      <c r="D11" s="43" t="inlineStr">
        <is>
          <t>Done</t>
        </is>
      </c>
      <c r="E11" s="43" t="inlineStr">
        <is>
          <t>2026-08-13</t>
        </is>
      </c>
      <c r="F11" s="43" t="inlineStr">
        <is>
          <t>asof-design-spec.md §1 — north-star artifact + binding generator constraints</t>
        </is>
      </c>
    </row>
    <row r="12" ht="15" customHeight="1" s="24">
      <c r="A12" s="41" t="inlineStr">
        <is>
          <t>P2</t>
        </is>
      </c>
      <c r="B12" s="42" t="inlineStr">
        <is>
          <t>UX flows: onboarding, flag-&gt;resolution, standup view</t>
        </is>
      </c>
      <c r="C12" s="43" t="inlineStr">
        <is>
          <t>You</t>
        </is>
      </c>
      <c r="D12" s="43" t="inlineStr">
        <is>
          <t>Done</t>
        </is>
      </c>
      <c r="E12" s="43" t="inlineStr">
        <is>
          <t>2026-08-18</t>
        </is>
      </c>
      <c r="F12" s="43" t="inlineStr">
        <is>
          <t>asof-design-spec.md §2 — incl. workflow-mapping step, IC DM, 4 screens, visual system</t>
        </is>
      </c>
    </row>
    <row r="13" ht="15" customHeight="1" s="24">
      <c r="A13" s="41" t="inlineStr">
        <is>
          <t>P2</t>
        </is>
      </c>
      <c r="B13" s="42" t="inlineStr">
        <is>
          <t>Data model / schema design (entities + change log)</t>
        </is>
      </c>
      <c r="C13" s="43" t="inlineStr">
        <is>
          <t>You</t>
        </is>
      </c>
      <c r="D13" s="43" t="inlineStr">
        <is>
          <t>Done</t>
        </is>
      </c>
      <c r="E13" s="43" t="inlineStr">
        <is>
          <t>2026-08-19</t>
        </is>
      </c>
      <c r="F13" s="43" t="inlineStr">
        <is>
          <t>asof-design-spec.md §3 — full DDL, event_log, no per-person metrics table by design</t>
        </is>
      </c>
    </row>
    <row r="14" ht="15" customHeight="1" s="24">
      <c r="A14" s="41" t="inlineStr">
        <is>
          <t>P2</t>
        </is>
      </c>
      <c r="B14" s="42" t="inlineStr">
        <is>
          <t>Architecture doc sign-off (rules vs LLM trust boundary)</t>
        </is>
      </c>
      <c r="C14" s="43" t="inlineStr">
        <is>
          <t>You</t>
        </is>
      </c>
      <c r="D14" s="43" t="inlineStr">
        <is>
          <t>Done</t>
        </is>
      </c>
      <c r="E14" s="43" t="inlineStr">
        <is>
          <t>2026-08-21</t>
        </is>
      </c>
      <c r="F14" s="43" t="inlineStr">
        <is>
          <t>asof-design-spec.md §4 — rules/LLM trust boundary, query service, sync, decisions</t>
        </is>
      </c>
    </row>
    <row r="15" ht="15" customHeight="1" s="24">
      <c r="A15" s="41" t="inlineStr">
        <is>
          <t>P3</t>
        </is>
      </c>
      <c r="B15" s="42" t="inlineStr">
        <is>
          <t>Jira Cloud API pull: issues, transitions, sprint</t>
        </is>
      </c>
      <c r="C15" s="43" t="inlineStr">
        <is>
          <t>You</t>
        </is>
      </c>
      <c r="D15" s="43" t="inlineStr">
        <is>
          <t>Done</t>
        </is>
      </c>
      <c r="E15" s="43" t="inlineStr">
        <is>
          <t>2026-08-20</t>
        </is>
      </c>
      <c r="F15" s="43" t="inlineStr">
        <is>
          <t>src/connectors/jira.ts</t>
        </is>
      </c>
    </row>
    <row r="16" ht="15" customHeight="1" s="24">
      <c r="A16" s="41" t="inlineStr">
        <is>
          <t>P3</t>
        </is>
      </c>
      <c r="B16" s="42" t="inlineStr">
        <is>
          <t>GitHub API pull: commits, branches, PRs, checks</t>
        </is>
      </c>
      <c r="C16" s="43" t="inlineStr">
        <is>
          <t>You</t>
        </is>
      </c>
      <c r="D16" s="43" t="inlineStr">
        <is>
          <t>Done</t>
        </is>
      </c>
      <c r="E16" s="43" t="inlineStr">
        <is>
          <t>2026-08-21</t>
        </is>
      </c>
      <c r="F16" s="43" t="inlineStr">
        <is>
          <t>src/connectors/github.ts</t>
        </is>
      </c>
    </row>
    <row r="17" ht="15" customHeight="1" s="24">
      <c r="A17" s="41" t="inlineStr">
        <is>
          <t>P3</t>
        </is>
      </c>
      <c r="B17" s="42" t="inlineStr">
        <is>
          <t>Implement rules D1-D3 + evidence links</t>
        </is>
      </c>
      <c r="C17" s="43" t="inlineStr">
        <is>
          <t>You</t>
        </is>
      </c>
      <c r="D17" s="43" t="inlineStr">
        <is>
          <t>Done</t>
        </is>
      </c>
      <c r="E17" s="43" t="inlineStr">
        <is>
          <t>2026-08-25</t>
        </is>
      </c>
      <c r="F17" s="43" t="inlineStr">
        <is>
          <t>src/rules/d1.ts, d2.ts, d3.ts — 15 fixture tests, test/rules/</t>
        </is>
      </c>
    </row>
    <row r="18" ht="15" customHeight="1" s="24">
      <c r="A18" s="41" t="inlineStr">
        <is>
          <t>P3</t>
        </is>
      </c>
      <c r="B18" s="42" t="inlineStr">
        <is>
          <t>Claude-narrated brief from rule output</t>
        </is>
      </c>
      <c r="C18" s="43" t="inlineStr">
        <is>
          <t>You</t>
        </is>
      </c>
      <c r="D18" s="43" t="inlineStr">
        <is>
          <t>Done</t>
        </is>
      </c>
      <c r="E18" s="43" t="inlineStr">
        <is>
          <t>2026-08-26</t>
        </is>
      </c>
      <c r="F18" s="43" t="inlineStr">
        <is>
          <t>src/llm/brief.ts</t>
        </is>
      </c>
    </row>
    <row r="19" ht="15" customHeight="1" s="24">
      <c r="A19" s="41" t="inlineStr">
        <is>
          <t>P3</t>
        </is>
      </c>
      <c r="B19" s="42" t="inlineStr">
        <is>
          <t>Run on a real team's data; lead judges usefulness</t>
        </is>
      </c>
      <c r="C19" s="43" t="inlineStr">
        <is>
          <t>You</t>
        </is>
      </c>
      <c r="D19" s="43" t="inlineStr">
        <is>
          <t>In Progress</t>
        </is>
      </c>
      <c r="E19" s="43" t="inlineStr">
        <is>
          <t>2026-08-28</t>
        </is>
      </c>
      <c r="F19" s="43" t="inlineStr">
        <is>
          <t>Real Jira Cloud site + real GitHub repo connected; sync/drift/brief run live end to end. D1 (KAN-16 Done w/ unmerged PR) and D2 (KAN-15/18/37 stale In Progress, 2 of them moved by a real second team member, Alex Cooper) both verified firing correctly. Still needs: your own usefulness judgment on the findings to actually clear the GO/NO-GO gate.</t>
        </is>
      </c>
    </row>
    <row r="20" ht="15" customHeight="1" s="24">
      <c r="A20" s="41" t="inlineStr">
        <is>
          <t>P4</t>
        </is>
      </c>
      <c r="B20" s="42" t="inlineStr">
        <is>
          <t>OAuth connect flows (Jira, GitHub) + user mapping UI</t>
        </is>
      </c>
      <c r="C20" s="43" t="inlineStr">
        <is>
          <t>You</t>
        </is>
      </c>
      <c r="D20" s="43" t="inlineStr">
        <is>
          <t>Not Started</t>
        </is>
      </c>
      <c r="E20" s="43" t="inlineStr">
        <is>
          <t>2026-09-11</t>
        </is>
      </c>
      <c r="F20" s="43" t="n"/>
    </row>
    <row r="21" ht="15" customHeight="1" s="24">
      <c r="A21" s="41" t="inlineStr">
        <is>
          <t>P4</t>
        </is>
      </c>
      <c r="B21" s="42" t="inlineStr">
        <is>
          <t>Sync workers (webhooks + polling, BullMQ)</t>
        </is>
      </c>
      <c r="C21" s="43" t="inlineStr">
        <is>
          <t>You</t>
        </is>
      </c>
      <c r="D21" s="43" t="inlineStr">
        <is>
          <t>Not Started</t>
        </is>
      </c>
      <c r="E21" s="43" t="inlineStr">
        <is>
          <t>2026-09-18</t>
        </is>
      </c>
      <c r="F21" s="43" t="n"/>
    </row>
    <row r="22" ht="15" customHeight="1" s="24">
      <c r="A22" s="41" t="inlineStr">
        <is>
          <t>P4</t>
        </is>
      </c>
      <c r="B22" s="42" t="inlineStr">
        <is>
          <t>PR&lt;-&gt;ticket linking (explicit + fuzzy w/ confidence)</t>
        </is>
      </c>
      <c r="C22" s="43" t="inlineStr">
        <is>
          <t>You</t>
        </is>
      </c>
      <c r="D22" s="43" t="inlineStr">
        <is>
          <t>Done</t>
        </is>
      </c>
      <c r="E22" s="43" t="inlineStr">
        <is>
          <t>2026-09-18</t>
        </is>
      </c>
      <c r="F22" s="43" t="inlineStr">
        <is>
          <t>Explicit (B7) + branch/commit-ref (B8) + fuzzy via Haiku (B19), all fixture-tested.</t>
        </is>
      </c>
    </row>
    <row r="23" ht="15" customHeight="1" s="24">
      <c r="A23" s="41" t="inlineStr">
        <is>
          <t>P4</t>
        </is>
      </c>
      <c r="B23" s="42" t="inlineStr">
        <is>
          <t>Drift engine: all 8 rules, per-team config</t>
        </is>
      </c>
      <c r="C23" s="43" t="inlineStr">
        <is>
          <t>You</t>
        </is>
      </c>
      <c r="D23" s="43" t="inlineStr">
        <is>
          <t>In Progress</t>
        </is>
      </c>
      <c r="E23" s="43" t="inlineStr">
        <is>
          <t>2026-09-25</t>
        </is>
      </c>
      <c r="F23" s="43" t="inlineStr">
        <is>
          <t>All 8 rules (D1-D8) implemented and fixture-tested (B10-B12, B20-B24). Per-team rule config API (B26) not started.</t>
        </is>
      </c>
    </row>
    <row r="24" ht="15" customHeight="1" s="24">
      <c r="A24" s="41" t="inlineStr">
        <is>
          <t>P4</t>
        </is>
      </c>
      <c r="B24" s="42" t="inlineStr">
        <is>
          <t>Chat Q&amp;A with tool-use + source chips (SSE streaming)</t>
        </is>
      </c>
      <c r="C24" s="43" t="inlineStr">
        <is>
          <t>You</t>
        </is>
      </c>
      <c r="D24" s="43" t="inlineStr">
        <is>
          <t>Done</t>
        </is>
      </c>
      <c r="E24" s="43" t="inlineStr">
        <is>
          <t>2026-10-02</t>
        </is>
      </c>
      <c r="F24" s="43" t="inlineStr">
        <is>
          <t>src/llm/ask.ts + src/llm/queryTools.ts + POST /api/ask + apps/web Jarvis screen (voice + text). SSE streaming not implemented (single-shot request/response instead); source chips inline not implemented for the voice answer text (spoken answers avoid markdown by design)</t>
        </is>
      </c>
    </row>
    <row r="25" ht="15" customHeight="1" s="24">
      <c r="A25" s="41" t="inlineStr">
        <is>
          <t>P4</t>
        </is>
      </c>
      <c r="B25" s="42" t="inlineStr">
        <is>
          <t>Morning brief generation + Slack delivery</t>
        </is>
      </c>
      <c r="C25" s="43" t="inlineStr">
        <is>
          <t>You</t>
        </is>
      </c>
      <c r="D25" s="43" t="inlineStr">
        <is>
          <t>Not Started</t>
        </is>
      </c>
      <c r="E25" s="43" t="inlineStr">
        <is>
          <t>2026-10-02</t>
        </is>
      </c>
      <c r="F25" s="43" t="n"/>
    </row>
    <row r="26" ht="15" customHeight="1" s="24">
      <c r="A26" s="41" t="inlineStr">
        <is>
          <t>P4</t>
        </is>
      </c>
      <c r="B26" s="42" t="inlineStr">
        <is>
          <t>Standup view + 'Post to Slack'</t>
        </is>
      </c>
      <c r="C26" s="43" t="inlineStr">
        <is>
          <t>You</t>
        </is>
      </c>
      <c r="D26" s="43" t="inlineStr">
        <is>
          <t>In Progress</t>
        </is>
      </c>
      <c r="E26" s="43" t="inlineStr">
        <is>
          <t>2026-10-07</t>
        </is>
      </c>
      <c r="F26" s="43" t="inlineStr">
        <is>
          <t>Standup grid built (apps/web) and verified; 'Post to Slack' still needs B30 (Slack app), not started</t>
        </is>
      </c>
    </row>
    <row r="27" ht="15" customHeight="1" s="24">
      <c r="A27" s="41" t="inlineStr">
        <is>
          <t>P4</t>
        </is>
      </c>
      <c r="B27" s="42" t="inlineStr">
        <is>
          <t>Feedback loop (correct/ignore/snooze) + suppression</t>
        </is>
      </c>
      <c r="C27" s="43" t="inlineStr">
        <is>
          <t>You</t>
        </is>
      </c>
      <c r="D27" s="43" t="inlineStr">
        <is>
          <t>Done</t>
        </is>
      </c>
      <c r="E27" s="43" t="inlineStr">
        <is>
          <t>2026-10-08</t>
        </is>
      </c>
      <c r="F27" s="43" t="inlineStr">
        <is>
          <t>src/db/findings.ts recordFeedback + POST /api/findings/:id/feedback + FindingCard UI. Verified live (curl + running web app).</t>
        </is>
      </c>
    </row>
    <row r="28" ht="15" customHeight="1" s="24">
      <c r="A28" s="41" t="inlineStr">
        <is>
          <t>P4</t>
        </is>
      </c>
      <c r="B28" s="42" t="inlineStr">
        <is>
          <t>Transparency page + data deletion</t>
        </is>
      </c>
      <c r="C28" s="43" t="inlineStr">
        <is>
          <t>You</t>
        </is>
      </c>
      <c r="D28" s="43" t="inlineStr">
        <is>
          <t>Not Started</t>
        </is>
      </c>
      <c r="E28" s="43" t="inlineStr">
        <is>
          <t>2026-10-09</t>
        </is>
      </c>
      <c r="F28" s="43" t="n"/>
    </row>
    <row r="29" ht="15" customHeight="1" s="24">
      <c r="A29" s="41" t="inlineStr">
        <is>
          <t>P5</t>
        </is>
      </c>
      <c r="B29" s="42" t="inlineStr">
        <is>
          <t>Fixture test suite: fake Jira/GitHub payloads per rule</t>
        </is>
      </c>
      <c r="C29" s="43" t="inlineStr">
        <is>
          <t>You</t>
        </is>
      </c>
      <c r="D29" s="43" t="inlineStr">
        <is>
          <t>Not Started</t>
        </is>
      </c>
      <c r="E29" s="43" t="inlineStr">
        <is>
          <t>2026-10-09</t>
        </is>
      </c>
      <c r="F29" s="43" t="n"/>
    </row>
    <row r="30" ht="15" customHeight="1" s="24">
      <c r="A30" s="41" t="inlineStr">
        <is>
          <t>P5</t>
        </is>
      </c>
      <c r="B30" s="42" t="inlineStr">
        <is>
          <t>Precision tuning on internal team (target &gt;= 80%)</t>
        </is>
      </c>
      <c r="C30" s="43" t="inlineStr">
        <is>
          <t>You</t>
        </is>
      </c>
      <c r="D30" s="43" t="inlineStr">
        <is>
          <t>Not Started</t>
        </is>
      </c>
      <c r="E30" s="43" t="inlineStr">
        <is>
          <t>2026-10-14</t>
        </is>
      </c>
      <c r="F30" s="43" t="n"/>
    </row>
    <row r="31" ht="15" customHeight="1" s="24">
      <c r="A31" s="41" t="inlineStr">
        <is>
          <t>P5</t>
        </is>
      </c>
      <c r="B31" s="42" t="inlineStr">
        <is>
          <t>Security pass: token encryption, tenant isolation, scopes</t>
        </is>
      </c>
      <c r="C31" s="43" t="inlineStr">
        <is>
          <t>You</t>
        </is>
      </c>
      <c r="D31" s="43" t="inlineStr">
        <is>
          <t>Not Started</t>
        </is>
      </c>
      <c r="E31" s="43" t="inlineStr">
        <is>
          <t>2026-10-16</t>
        </is>
      </c>
      <c r="F31" s="43" t="n"/>
    </row>
    <row r="32" ht="15" customHeight="1" s="24">
      <c r="A32" s="41" t="inlineStr">
        <is>
          <t>P6</t>
        </is>
      </c>
      <c r="B32" s="42" t="inlineStr">
        <is>
          <t>Onboard design partners (target &lt; 10 min each)</t>
        </is>
      </c>
      <c r="C32" s="43" t="inlineStr">
        <is>
          <t>You</t>
        </is>
      </c>
      <c r="D32" s="43" t="inlineStr">
        <is>
          <t>Not Started</t>
        </is>
      </c>
      <c r="E32" s="43" t="inlineStr">
        <is>
          <t>2026-10-23</t>
        </is>
      </c>
      <c r="F32" s="43" t="n"/>
    </row>
    <row r="33" ht="15" customHeight="1" s="24">
      <c r="A33" s="41" t="inlineStr">
        <is>
          <t>P6</t>
        </is>
      </c>
      <c r="B33" s="42" t="inlineStr">
        <is>
          <t>Weekly feedback interviews + threshold tuning</t>
        </is>
      </c>
      <c r="C33" s="43" t="inlineStr">
        <is>
          <t>You</t>
        </is>
      </c>
      <c r="D33" s="43" t="inlineStr">
        <is>
          <t>Not Started</t>
        </is>
      </c>
      <c r="E33" s="43" t="inlineStr">
        <is>
          <t>2026-11-20</t>
        </is>
      </c>
      <c r="F33" s="43" t="n"/>
    </row>
    <row r="34" ht="15" customHeight="1" s="24">
      <c r="A34" s="41" t="inlineStr">
        <is>
          <t>P6</t>
        </is>
      </c>
      <c r="B34" s="42" t="inlineStr">
        <is>
          <t>Measure: standups cancelled, flag precision, brief opens</t>
        </is>
      </c>
      <c r="C34" s="43" t="inlineStr">
        <is>
          <t>You</t>
        </is>
      </c>
      <c r="D34" s="43" t="inlineStr">
        <is>
          <t>Not Started</t>
        </is>
      </c>
      <c r="E34" s="43" t="inlineStr">
        <is>
          <t>2026-11-27</t>
        </is>
      </c>
      <c r="F34" s="43" t="inlineStr">
        <is>
          <t>Success gate for launch</t>
        </is>
      </c>
    </row>
    <row r="35" ht="15" customHeight="1" s="24">
      <c r="A35" s="41" t="inlineStr">
        <is>
          <t>P7</t>
        </is>
      </c>
      <c r="B35" s="42" t="inlineStr">
        <is>
          <t>Monitoring, alerting, error budget (Sentry + PostHog)</t>
        </is>
      </c>
      <c r="C35" s="43" t="inlineStr">
        <is>
          <t>You</t>
        </is>
      </c>
      <c r="D35" s="43" t="inlineStr">
        <is>
          <t>Not Started</t>
        </is>
      </c>
      <c r="E35" s="43" t="inlineStr">
        <is>
          <t>2026-11-27</t>
        </is>
      </c>
      <c r="F35" s="43" t="n"/>
    </row>
    <row r="36" ht="15" customHeight="1" s="24">
      <c r="A36" s="41" t="inlineStr">
        <is>
          <t>P7</t>
        </is>
      </c>
      <c r="B36" s="42" t="inlineStr">
        <is>
          <t>LLM cost controls + caching (&lt; $0.50/team/day)</t>
        </is>
      </c>
      <c r="C36" s="43" t="inlineStr">
        <is>
          <t>You</t>
        </is>
      </c>
      <c r="D36" s="43" t="inlineStr">
        <is>
          <t>Not Started</t>
        </is>
      </c>
      <c r="E36" s="43" t="inlineStr">
        <is>
          <t>2026-12-01</t>
        </is>
      </c>
      <c r="F36" s="43" t="n"/>
    </row>
    <row r="37" ht="15" customHeight="1" s="24">
      <c r="A37" s="41" t="inlineStr">
        <is>
          <t>P7</t>
        </is>
      </c>
      <c r="B37" s="42" t="inlineStr">
        <is>
          <t>Verify 24h tenant purge; write ops runbook</t>
        </is>
      </c>
      <c r="C37" s="43" t="inlineStr">
        <is>
          <t>You</t>
        </is>
      </c>
      <c r="D37" s="43" t="inlineStr">
        <is>
          <t>Not Started</t>
        </is>
      </c>
      <c r="E37" s="43" t="inlineStr">
        <is>
          <t>2026-12-04</t>
        </is>
      </c>
      <c r="F37" s="43" t="n"/>
    </row>
    <row r="38" ht="15" customHeight="1" s="24">
      <c r="A38" s="41" t="inlineStr">
        <is>
          <t>P8</t>
        </is>
      </c>
      <c r="B38" s="42" t="inlineStr">
        <is>
          <t>Billing integration ($49/team/mo)</t>
        </is>
      </c>
      <c r="C38" s="43" t="inlineStr">
        <is>
          <t>You</t>
        </is>
      </c>
      <c r="D38" s="43" t="inlineStr">
        <is>
          <t>Not Started</t>
        </is>
      </c>
      <c r="E38" s="43" t="inlineStr">
        <is>
          <t>2026-12-11</t>
        </is>
      </c>
      <c r="F38" s="43" t="n"/>
    </row>
    <row r="39" ht="15" customHeight="1" s="24">
      <c r="A39" s="41" t="inlineStr">
        <is>
          <t>P8</t>
        </is>
      </c>
      <c r="B39" s="42" t="inlineStr">
        <is>
          <t>Marketing site with privacy commitments verbatim</t>
        </is>
      </c>
      <c r="C39" s="43" t="inlineStr">
        <is>
          <t>You</t>
        </is>
      </c>
      <c r="D39" s="43" t="inlineStr">
        <is>
          <t>Not Started</t>
        </is>
      </c>
      <c r="E39" s="43" t="inlineStr">
        <is>
          <t>2026-12-15</t>
        </is>
      </c>
      <c r="F39" s="43" t="n"/>
    </row>
    <row r="40" ht="15" customHeight="1" s="24">
      <c r="A40" s="41" t="inlineStr">
        <is>
          <t>P8</t>
        </is>
      </c>
      <c r="B40" s="42" t="inlineStr">
        <is>
          <t>Production deploy + first paying team</t>
        </is>
      </c>
      <c r="C40" s="43" t="inlineStr">
        <is>
          <t>You</t>
        </is>
      </c>
      <c r="D40" s="43" t="inlineStr">
        <is>
          <t>Not Started</t>
        </is>
      </c>
      <c r="E40" s="43" t="inlineStr">
        <is>
          <t>2026-12-18</t>
        </is>
      </c>
      <c r="F40" s="43" t="inlineStr">
        <is>
          <t>LAUNCH</t>
        </is>
      </c>
    </row>
    <row r="41" ht="15" customHeight="1" s="24">
      <c r="A41" s="41" t="inlineStr">
        <is>
          <t>P9</t>
        </is>
      </c>
      <c r="B41" s="42" t="inlineStr">
        <is>
          <t>Weekly metric review vs North star</t>
        </is>
      </c>
      <c r="C41" s="43" t="inlineStr">
        <is>
          <t>You</t>
        </is>
      </c>
      <c r="D41" s="43" t="inlineStr">
        <is>
          <t>Not Started</t>
        </is>
      </c>
      <c r="E41" s="43" t="n"/>
      <c r="F41" s="43" t="inlineStr">
        <is>
          <t>Recurring</t>
        </is>
      </c>
    </row>
    <row r="42" ht="15" customHeight="1" s="24">
      <c r="A42" s="41" t="inlineStr">
        <is>
          <t>P9</t>
        </is>
      </c>
      <c r="B42" s="42" t="inlineStr">
        <is>
          <t>v1.1 scoping: voice brief, Slack signals opt-in, Linear</t>
        </is>
      </c>
      <c r="C42" s="43" t="inlineStr">
        <is>
          <t>You</t>
        </is>
      </c>
      <c r="D42" s="43" t="inlineStr">
        <is>
          <t>Not Started</t>
        </is>
      </c>
      <c r="E42" s="43" t="n"/>
      <c r="F42" s="43" t="n"/>
    </row>
  </sheetData>
  <conditionalFormatting sqref="D5:D200">
    <cfRule type="cellIs" rank="0" priority="2" equalAverage="0" operator="equal" aboveAverage="0" dxfId="0" text="" percent="0" bottom="0">
      <formula>"Done"</formula>
    </cfRule>
    <cfRule type="cellIs" rank="0" priority="3" equalAverage="0" operator="equal" aboveAverage="0" dxfId="1" text="" percent="0" bottom="0">
      <formula>"In Progress"</formula>
    </cfRule>
    <cfRule type="cellIs" rank="0" priority="4" equalAverage="0" operator="equal" aboveAverage="0" dxfId="2" text="" percent="0" bottom="0">
      <formula>"Blocked"</formula>
    </cfRule>
    <cfRule type="cellIs" rank="0" priority="5" equalAverage="0" operator="equal" aboveAverage="0" dxfId="3" text="" percent="0" bottom="0">
      <formula>"Not Started"</formula>
    </cfRule>
  </conditionalFormatting>
  <dataValidations count="1">
    <dataValidation sqref="D5:D200" showDropDown="0" showInputMessage="0" showErrorMessage="0" allowBlank="1" type="list" errorStyle="stop" operator="between">
      <formula1>"Not Started,In Progress,Blocked,Done"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3" min="1" max="1"/>
    <col width="18" customWidth="1" style="23" min="2" max="2"/>
    <col width="56" customWidth="1" style="23" min="3" max="3"/>
    <col width="14" customWidth="1" style="23" min="4" max="4"/>
    <col width="7" customWidth="1" style="23" min="5" max="5"/>
    <col width="6" customWidth="1" style="23" min="6" max="6"/>
    <col width="11" customWidth="1" style="23" min="7" max="7"/>
    <col width="13" customWidth="1" style="23" min="8" max="8"/>
    <col width="30" customWidth="1" style="23" min="9" max="9"/>
  </cols>
  <sheetData>
    <row r="1" ht="17.25" customHeight="1" s="24">
      <c r="A1" s="40" t="inlineStr">
        <is>
          <t>AsOf — Engineering Backlog (feeds P3 &amp; P4)</t>
        </is>
      </c>
    </row>
    <row r="2" ht="15" customHeight="1" s="24">
      <c r="A2" s="26" t="inlineStr">
        <is>
          <t>Granular, codeable units. Each maps to a Phase task and an FR/rule from the spec. Edit amber columns; sizes: S &lt;= half day, M &lt;= 2 days, L &lt;= 5 days.</t>
        </is>
      </c>
    </row>
    <row r="4" ht="23.25" customHeight="1" s="24">
      <c r="A4" s="31" t="inlineStr">
        <is>
          <t>ID</t>
        </is>
      </c>
      <c r="B4" s="31" t="inlineStr">
        <is>
          <t>Component</t>
        </is>
      </c>
      <c r="C4" s="31" t="inlineStr">
        <is>
          <t>Dev Task</t>
        </is>
      </c>
      <c r="D4" s="31" t="inlineStr">
        <is>
          <t>Spec Ref</t>
        </is>
      </c>
      <c r="E4" s="31" t="inlineStr">
        <is>
          <t>Phase</t>
        </is>
      </c>
      <c r="F4" s="31" t="inlineStr">
        <is>
          <t>Size</t>
        </is>
      </c>
      <c r="G4" s="31" t="inlineStr">
        <is>
          <t>Depends On</t>
        </is>
      </c>
      <c r="H4" s="31" t="inlineStr">
        <is>
          <t>Status</t>
        </is>
      </c>
      <c r="I4" s="31" t="inlineStr">
        <is>
          <t>Notes</t>
        </is>
      </c>
    </row>
    <row r="5" ht="15" customHeight="1" s="24">
      <c r="A5" s="41" t="inlineStr">
        <is>
          <t>B1</t>
        </is>
      </c>
      <c r="B5" s="42" t="inlineStr">
        <is>
          <t>Repo &amp; scaffolding</t>
        </is>
      </c>
      <c r="C5" s="42" t="inlineStr">
        <is>
          <t>Monorepo setup: TS, Fastify, Vite/React, ESLint, CI pipeline</t>
        </is>
      </c>
      <c r="D5" s="42" t="inlineStr">
        <is>
          <t>§6</t>
        </is>
      </c>
      <c r="E5" s="42" t="inlineStr">
        <is>
          <t>P3</t>
        </is>
      </c>
      <c r="F5" s="42" t="inlineStr">
        <is>
          <t>S</t>
        </is>
      </c>
      <c r="G5" s="42" t="n"/>
      <c r="H5" s="43" t="inlineStr">
        <is>
          <t>Done</t>
        </is>
      </c>
      <c r="I5" s="43" t="inlineStr">
        <is>
          <t>Monorepo, tsconfig, npm scripts, .env.example, README with design invariants</t>
        </is>
      </c>
    </row>
    <row r="6" ht="15" customHeight="1" s="24">
      <c r="A6" s="41" t="inlineStr">
        <is>
          <t>B2</t>
        </is>
      </c>
      <c r="B6" s="42" t="inlineStr">
        <is>
          <t>Repo &amp; scaffolding</t>
        </is>
      </c>
      <c r="C6" s="42" t="inlineStr">
        <is>
          <t>Postgres schema migration tooling + Redis/BullMQ wiring</t>
        </is>
      </c>
      <c r="D6" s="42" t="inlineStr">
        <is>
          <t>§6, §8</t>
        </is>
      </c>
      <c r="E6" s="42" t="inlineStr">
        <is>
          <t>P3</t>
        </is>
      </c>
      <c r="F6" s="42" t="inlineStr">
        <is>
          <t>S</t>
        </is>
      </c>
      <c r="G6" s="42" t="inlineStr">
        <is>
          <t>B1</t>
        </is>
      </c>
      <c r="H6" s="43" t="inlineStr">
        <is>
          <t>Done</t>
        </is>
      </c>
      <c r="I6" s="43" t="inlineStr">
        <is>
          <t>migrate.ts + pool.ts, transactional migrations w/ schema_migration ledger</t>
        </is>
      </c>
    </row>
    <row r="7" ht="23.25" customHeight="1" s="24">
      <c r="A7" s="41" t="inlineStr">
        <is>
          <t>B3</t>
        </is>
      </c>
      <c r="B7" s="42" t="inlineStr">
        <is>
          <t>Connectors</t>
        </is>
      </c>
      <c r="C7" s="42" t="inlineStr">
        <is>
          <t>Jira Cloud client: fetch issues, transitions, sprint, comments meta (paginated)</t>
        </is>
      </c>
      <c r="D7" s="42" t="inlineStr">
        <is>
          <t>FR-2</t>
        </is>
      </c>
      <c r="E7" s="42" t="inlineStr">
        <is>
          <t>P3</t>
        </is>
      </c>
      <c r="F7" s="42" t="inlineStr">
        <is>
          <t>M</t>
        </is>
      </c>
      <c r="G7" s="42" t="n"/>
      <c r="H7" s="43" t="inlineStr">
        <is>
          <t>Done</t>
        </is>
      </c>
      <c r="I7" s="43" t="inlineStr">
        <is>
          <t>src/connectors/jira.ts — paginated issues+changelog, sprint, project statuses, normalizer</t>
        </is>
      </c>
    </row>
    <row r="8" ht="15" customHeight="1" s="24">
      <c r="A8" s="41" t="inlineStr">
        <is>
          <t>B4</t>
        </is>
      </c>
      <c r="B8" s="42" t="inlineStr">
        <is>
          <t>Connectors</t>
        </is>
      </c>
      <c r="C8" s="42" t="inlineStr">
        <is>
          <t>GitHub client: commits, branches, PRs, reviews, check runs</t>
        </is>
      </c>
      <c r="D8" s="42" t="inlineStr">
        <is>
          <t>FR-2</t>
        </is>
      </c>
      <c r="E8" s="42" t="inlineStr">
        <is>
          <t>P3</t>
        </is>
      </c>
      <c r="F8" s="42" t="inlineStr">
        <is>
          <t>M</t>
        </is>
      </c>
      <c r="G8" s="42" t="n"/>
      <c r="H8" s="43" t="inlineStr">
        <is>
          <t>Done</t>
        </is>
      </c>
      <c r="I8" s="43" t="inlineStr">
        <is>
          <t>src/connectors/github.ts — PRs, reviews, commits, check runs; no file contents fetched</t>
        </is>
      </c>
    </row>
    <row r="9" ht="15" customHeight="1" s="24">
      <c r="A9" s="41" t="inlineStr">
        <is>
          <t>B5</t>
        </is>
      </c>
      <c r="B9" s="42" t="inlineStr">
        <is>
          <t>Connectors</t>
        </is>
      </c>
      <c r="C9" s="42" t="inlineStr">
        <is>
          <t>Rate-limit + retry/backoff layer shared by both clients</t>
        </is>
      </c>
      <c r="D9" s="42" t="inlineStr">
        <is>
          <t>Risk 5</t>
        </is>
      </c>
      <c r="E9" s="42" t="inlineStr">
        <is>
          <t>P3</t>
        </is>
      </c>
      <c r="F9" s="42" t="inlineStr">
        <is>
          <t>S</t>
        </is>
      </c>
      <c r="G9" s="42" t="inlineStr">
        <is>
          <t>B3,B4</t>
        </is>
      </c>
      <c r="H9" s="43" t="inlineStr">
        <is>
          <t>Done</t>
        </is>
      </c>
      <c r="I9" s="43" t="inlineStr">
        <is>
          <t>src/connectors/http.ts — withRetry (honours Retry-After) + mapLimit concurrency cap</t>
        </is>
      </c>
    </row>
    <row r="10" ht="23.25" customHeight="1" s="24">
      <c r="A10" s="41" t="inlineStr">
        <is>
          <t>B6</t>
        </is>
      </c>
      <c r="B10" s="42" t="inlineStr">
        <is>
          <t>Data model</t>
        </is>
      </c>
      <c r="C10" s="42" t="inlineStr">
        <is>
          <t>Tables: tenant, team, person, identity_map, issue, pull_request, commit, ci_run, link, finding, feedback, brief, event_log</t>
        </is>
      </c>
      <c r="D10" s="42" t="inlineStr">
        <is>
          <t>§8</t>
        </is>
      </c>
      <c r="E10" s="42" t="inlineStr">
        <is>
          <t>P3</t>
        </is>
      </c>
      <c r="F10" s="42" t="inlineStr">
        <is>
          <t>M</t>
        </is>
      </c>
      <c r="G10" s="42" t="inlineStr">
        <is>
          <t>B2</t>
        </is>
      </c>
      <c r="H10" s="43" t="inlineStr">
        <is>
          <t>Done</t>
        </is>
      </c>
      <c r="I10" s="43" t="inlineStr">
        <is>
          <t>migrations/001_init.sql — full DDL incl. evidence CHECK, open-finding unique index, event_log</t>
        </is>
      </c>
    </row>
    <row r="11" ht="15" customHeight="1" s="24">
      <c r="A11" s="41" t="inlineStr">
        <is>
          <t>B7</t>
        </is>
      </c>
      <c r="B11" s="42" t="inlineStr">
        <is>
          <t>Linking</t>
        </is>
      </c>
      <c r="C11" s="42" t="inlineStr">
        <is>
          <t>Explicit link extraction (Jira dev panel / PR body keys)</t>
        </is>
      </c>
      <c r="D11" s="42" t="inlineStr">
        <is>
          <t>Rules §0</t>
        </is>
      </c>
      <c r="E11" s="42" t="inlineStr">
        <is>
          <t>P3</t>
        </is>
      </c>
      <c r="F11" s="42" t="inlineStr">
        <is>
          <t>S</t>
        </is>
      </c>
      <c r="G11" s="42" t="inlineStr">
        <is>
          <t>B6</t>
        </is>
      </c>
      <c r="H11" s="43" t="inlineStr">
        <is>
          <t>Done</t>
        </is>
      </c>
      <c r="I11" s="43" t="inlineStr">
        <is>
          <t>src/linking/explicit.ts — GitHub closing-keyword links (Closes/Fixes/Resolves NOVA-142) from PR title+body, confidence 1.0</t>
        </is>
      </c>
    </row>
    <row r="12" ht="23.25" customHeight="1" s="24">
      <c r="A12" s="41" t="inlineStr">
        <is>
          <t>B8</t>
        </is>
      </c>
      <c r="B12" s="42" t="inlineStr">
        <is>
          <t>Linking</t>
        </is>
      </c>
      <c r="C12" s="42" t="inlineStr">
        <is>
          <t>Branch-name + commit-message key regex linking with confidence scores</t>
        </is>
      </c>
      <c r="D12" s="42" t="inlineStr">
        <is>
          <t>Rules §0, D4</t>
        </is>
      </c>
      <c r="E12" s="42" t="inlineStr">
        <is>
          <t>P3</t>
        </is>
      </c>
      <c r="F12" s="42" t="inlineStr">
        <is>
          <t>S</t>
        </is>
      </c>
      <c r="G12" s="42" t="inlineStr">
        <is>
          <t>B7</t>
        </is>
      </c>
      <c r="H12" s="43" t="inlineStr">
        <is>
          <t>Done</t>
        </is>
      </c>
      <c r="I12" s="43" t="inlineStr">
        <is>
          <t>src/linking/implicit.ts — branch-name (0.9) + commit-message (0.85) key regex, filtered to connected project keys; src/linking/index.ts merges by max confidence</t>
        </is>
      </c>
    </row>
    <row r="13" ht="23.25" customHeight="1" s="24">
      <c r="A13" s="41" t="inlineStr">
        <is>
          <t>B9</t>
        </is>
      </c>
      <c r="B13" s="42" t="inlineStr">
        <is>
          <t>Drift engine</t>
        </is>
      </c>
      <c r="C13" s="42" t="inlineStr">
        <is>
          <t>Rule runner framework: pure fn contract, config injection, dedupe_key, business-day calc</t>
        </is>
      </c>
      <c r="D13" s="42" t="inlineStr">
        <is>
          <t>Rules §0</t>
        </is>
      </c>
      <c r="E13" s="42" t="inlineStr">
        <is>
          <t>P3</t>
        </is>
      </c>
      <c r="F13" s="42" t="inlineStr">
        <is>
          <t>M</t>
        </is>
      </c>
      <c r="G13" s="42" t="inlineStr">
        <is>
          <t>B6</t>
        </is>
      </c>
      <c r="H13" s="43" t="inlineStr">
        <is>
          <t>Done</t>
        </is>
      </c>
      <c r="I13" s="43" t="inlineStr">
        <is>
          <t>src/rules/runner.ts + types.ts — pure fn contract (TeamState, RuleConfig) =&gt; Finding[], dedupe_key, rankFindings (severity &gt; rule priority), businessDays.ts helper</t>
        </is>
      </c>
    </row>
    <row r="14" ht="15" customHeight="1" s="24">
      <c r="A14" s="41" t="inlineStr">
        <is>
          <t>B10</t>
        </is>
      </c>
      <c r="B14" s="42" t="inlineStr">
        <is>
          <t>Drift engine</t>
        </is>
      </c>
      <c r="C14" s="42" t="inlineStr">
        <is>
          <t>D1 Done-but-not-merged + grace period</t>
        </is>
      </c>
      <c r="D14" s="42" t="inlineStr">
        <is>
          <t>D1</t>
        </is>
      </c>
      <c r="E14" s="42" t="inlineStr">
        <is>
          <t>P3</t>
        </is>
      </c>
      <c r="F14" s="42" t="inlineStr">
        <is>
          <t>S</t>
        </is>
      </c>
      <c r="G14" s="42" t="inlineStr">
        <is>
          <t>B9,B7</t>
        </is>
      </c>
      <c r="H14" s="43" t="inlineStr">
        <is>
          <t>Done</t>
        </is>
      </c>
      <c r="I14" s="43" t="inlineStr">
        <is>
          <t>src/rules/d1.ts — Done-but-not-merged, 4h grace period, linking gate (&gt;=0.8 conf, no fuzzy), issueType suppression. 5 fixture tests.</t>
        </is>
      </c>
    </row>
    <row r="15" ht="15" customHeight="1" s="24">
      <c r="A15" s="41" t="inlineStr">
        <is>
          <t>B11</t>
        </is>
      </c>
      <c r="B15" s="42" t="inlineStr">
        <is>
          <t>Drift engine</t>
        </is>
      </c>
      <c r="C15" s="42" t="inlineStr">
        <is>
          <t>D2 Zombie In-Progress</t>
        </is>
      </c>
      <c r="D15" s="42" t="inlineStr">
        <is>
          <t>D2</t>
        </is>
      </c>
      <c r="E15" s="42" t="inlineStr">
        <is>
          <t>P3</t>
        </is>
      </c>
      <c r="F15" s="42" t="inlineStr">
        <is>
          <t>S</t>
        </is>
      </c>
      <c r="G15" s="42" t="inlineStr">
        <is>
          <t>B9</t>
        </is>
      </c>
      <c r="H15" s="43" t="inlineStr">
        <is>
          <t>Done</t>
        </is>
      </c>
      <c r="I15" s="43" t="inlineStr">
        <is>
          <t>src/rules/d2.ts — Zombie In-Progress, business-day age check, linked-branch commit activity via linking gate. 5 fixture tests. Known gap: Jira comments not pulled by B3 yet, so only transitions+commits checked.</t>
        </is>
      </c>
    </row>
    <row r="16" ht="15" customHeight="1" s="24">
      <c r="A16" s="41" t="inlineStr">
        <is>
          <t>B12</t>
        </is>
      </c>
      <c r="B16" s="42" t="inlineStr">
        <is>
          <t>Drift engine</t>
        </is>
      </c>
      <c r="C16" s="42" t="inlineStr">
        <is>
          <t>D3 Silent PR + bot-author allowlist</t>
        </is>
      </c>
      <c r="D16" s="42" t="inlineStr">
        <is>
          <t>D3</t>
        </is>
      </c>
      <c r="E16" s="42" t="inlineStr">
        <is>
          <t>P3</t>
        </is>
      </c>
      <c r="F16" s="42" t="inlineStr">
        <is>
          <t>S</t>
        </is>
      </c>
      <c r="G16" s="42" t="inlineStr">
        <is>
          <t>B9</t>
        </is>
      </c>
      <c r="H16" s="43" t="inlineStr">
        <is>
          <t>Done</t>
        </is>
      </c>
      <c r="I16" s="43" t="inlineStr">
        <is>
          <t>src/rules/d3.ts — Silent PR, bot-author allowlist, review-event clock reset for auto-resolve. 5 fixture tests.</t>
        </is>
      </c>
    </row>
    <row r="17" ht="23.25" customHeight="1" s="24">
      <c r="A17" s="41" t="inlineStr">
        <is>
          <t>B13</t>
        </is>
      </c>
      <c r="B17" s="42" t="inlineStr">
        <is>
          <t>LLM layer</t>
        </is>
      </c>
      <c r="C17" s="42" t="inlineStr">
        <is>
          <t>Brief narrator: findings JSON -&gt; Claude -&gt; brief matching the P2 north-star format</t>
        </is>
      </c>
      <c r="D17" s="42" t="inlineStr">
        <is>
          <t>FR-5</t>
        </is>
      </c>
      <c r="E17" s="42" t="inlineStr">
        <is>
          <t>P3</t>
        </is>
      </c>
      <c r="F17" s="42" t="inlineStr">
        <is>
          <t>M</t>
        </is>
      </c>
      <c r="G17" s="42" t="inlineStr">
        <is>
          <t>B10,B11,B12</t>
        </is>
      </c>
      <c r="H17" s="43" t="inlineStr">
        <is>
          <t>Done</t>
        </is>
      </c>
      <c r="I17" s="43" t="inlineStr">
        <is>
          <t>src/llm/brief.ts — findings JSON -&gt; Claude -&gt; brief matching design-spec §1 format. Entity-hallucination guard (validateBriefEntities) throws if the model mentions an entity absent from input. 7 tests on prompt contract + validator; live Claude call unverified in this sandbox (no ANTHROPIC_API_KEY available here).</t>
        </is>
      </c>
    </row>
    <row r="18" ht="15" customHeight="1" s="24">
      <c r="A18" s="41" t="inlineStr">
        <is>
          <t>B14</t>
        </is>
      </c>
      <c r="B18" s="42" t="inlineStr">
        <is>
          <t>Prototype gate</t>
        </is>
      </c>
      <c r="C18" s="42" t="inlineStr">
        <is>
          <t>CLI runner on real team data + lead usefulness review (GO/NO-GO)</t>
        </is>
      </c>
      <c r="D18" s="42" t="inlineStr">
        <is>
          <t>§11 Phase 0</t>
        </is>
      </c>
      <c r="E18" s="42" t="inlineStr">
        <is>
          <t>P3</t>
        </is>
      </c>
      <c r="F18" s="42" t="inlineStr">
        <is>
          <t>S</t>
        </is>
      </c>
      <c r="G18" s="42" t="inlineStr">
        <is>
          <t>B13</t>
        </is>
      </c>
      <c r="H18" s="43" t="inlineStr">
        <is>
          <t>In Progress</t>
        </is>
      </c>
      <c r="I18" s="43" t="inlineStr">
        <is>
          <t>First real sync+drift+brief run completed against a real Jira Cloud site (KAN project) + real GitHub repo (vinaycookscode/AsOf), with a second real team member (Alex Cooper) independently active on the board. Fixed 3 real bugs the live run surfaced: Jira's /rest/api/3/search was removed (migrated to /rest/api/3/search/jql, cursor pagination); fetchActiveSprint crashed on Kanban boards (400 'board does not support sprints') instead of treating it as sprint=null; brief prompt leaked a literal 'Sprint day X of Y' placeholder when sprint was null. D1 and D2 both verified firing correctly on real data (issues transitioned via the Jira API directly, since CSV-imported issues have no changelog history for their seeded status). STILL NOT DONE: the actual GO/NO-GO judgment call -- are these findings useful -- is the user's to make, not something this session can perform.</t>
        </is>
      </c>
    </row>
    <row r="19" ht="15" customHeight="1" s="24">
      <c r="A19" s="41" t="inlineStr">
        <is>
          <t>B15</t>
        </is>
      </c>
      <c r="B19" s="42" t="inlineStr">
        <is>
          <t>Connectors</t>
        </is>
      </c>
      <c r="C19" s="42" t="inlineStr">
        <is>
          <t>OAuth flows (Jira 3LO, GitHub App) + encrypted token store</t>
        </is>
      </c>
      <c r="D19" s="42" t="inlineStr">
        <is>
          <t>FR-1, NFR-5</t>
        </is>
      </c>
      <c r="E19" s="42" t="inlineStr">
        <is>
          <t>P4</t>
        </is>
      </c>
      <c r="F19" s="42" t="inlineStr">
        <is>
          <t>M</t>
        </is>
      </c>
      <c r="G19" s="42" t="inlineStr">
        <is>
          <t>B5</t>
        </is>
      </c>
      <c r="H19" s="43" t="inlineStr">
        <is>
          <t>Not Started</t>
        </is>
      </c>
      <c r="I19" s="43" t="n"/>
    </row>
    <row r="20" ht="15" customHeight="1" s="24">
      <c r="A20" s="41" t="inlineStr">
        <is>
          <t>B16</t>
        </is>
      </c>
      <c r="B20" s="42" t="inlineStr">
        <is>
          <t>Connectors</t>
        </is>
      </c>
      <c r="C20" s="42" t="inlineStr">
        <is>
          <t>Webhook receivers + polling fallback jobs (BullMQ schedules)</t>
        </is>
      </c>
      <c r="D20" s="42" t="inlineStr">
        <is>
          <t>FR-2</t>
        </is>
      </c>
      <c r="E20" s="42" t="inlineStr">
        <is>
          <t>P4</t>
        </is>
      </c>
      <c r="F20" s="42" t="inlineStr">
        <is>
          <t>M</t>
        </is>
      </c>
      <c r="G20" s="42" t="inlineStr">
        <is>
          <t>B15</t>
        </is>
      </c>
      <c r="H20" s="43" t="inlineStr">
        <is>
          <t>Not Started</t>
        </is>
      </c>
      <c r="I20" s="43" t="n"/>
    </row>
    <row r="21" ht="15" customHeight="1" s="24">
      <c r="A21" s="41" t="inlineStr">
        <is>
          <t>B17</t>
        </is>
      </c>
      <c r="B21" s="42" t="inlineStr">
        <is>
          <t>Ingestion</t>
        </is>
      </c>
      <c r="C21" s="42" t="inlineStr">
        <is>
          <t>Normalization workers: upsert entities + append event_log deltas</t>
        </is>
      </c>
      <c r="D21" s="42" t="inlineStr">
        <is>
          <t>§7</t>
        </is>
      </c>
      <c r="E21" s="42" t="inlineStr">
        <is>
          <t>P4</t>
        </is>
      </c>
      <c r="F21" s="42" t="inlineStr">
        <is>
          <t>M</t>
        </is>
      </c>
      <c r="G21" s="42" t="inlineStr">
        <is>
          <t>B16</t>
        </is>
      </c>
      <c r="H21" s="43" t="inlineStr">
        <is>
          <t>Not Started</t>
        </is>
      </c>
      <c r="I21" s="43" t="n"/>
    </row>
    <row r="22" ht="23.25" customHeight="1" s="24">
      <c r="A22" s="41" t="inlineStr">
        <is>
          <t>B18</t>
        </is>
      </c>
      <c r="B22" s="42" t="inlineStr">
        <is>
          <t>Ingestion</t>
        </is>
      </c>
      <c r="C22" s="42" t="inlineStr">
        <is>
          <t>User identity mapping: auto-match by email/name + manual override API</t>
        </is>
      </c>
      <c r="D22" s="42" t="inlineStr">
        <is>
          <t>FR-1</t>
        </is>
      </c>
      <c r="E22" s="42" t="inlineStr">
        <is>
          <t>P4</t>
        </is>
      </c>
      <c r="F22" s="42" t="inlineStr">
        <is>
          <t>M</t>
        </is>
      </c>
      <c r="G22" s="42" t="inlineStr">
        <is>
          <t>B17</t>
        </is>
      </c>
      <c r="H22" s="43" t="inlineStr">
        <is>
          <t>Not Started</t>
        </is>
      </c>
      <c r="I22" s="43" t="n"/>
    </row>
    <row r="23" ht="15" customHeight="1" s="24">
      <c r="A23" s="41" t="inlineStr">
        <is>
          <t>B19</t>
        </is>
      </c>
      <c r="B23" s="42" t="inlineStr">
        <is>
          <t>Linking</t>
        </is>
      </c>
      <c r="C23" s="42" t="inlineStr">
        <is>
          <t>Fuzzy PR&lt;-&gt;ticket matching via Haiku with confidence threshold</t>
        </is>
      </c>
      <c r="D23" s="42" t="inlineStr">
        <is>
          <t>Rules §0, Risk 2</t>
        </is>
      </c>
      <c r="E23" s="42" t="inlineStr">
        <is>
          <t>P4</t>
        </is>
      </c>
      <c r="F23" s="42" t="inlineStr">
        <is>
          <t>M</t>
        </is>
      </c>
      <c r="G23" s="42" t="inlineStr">
        <is>
          <t>B8</t>
        </is>
      </c>
      <c r="H23" s="43" t="inlineStr">
        <is>
          <t>Done</t>
        </is>
      </c>
      <c r="I23" s="43" t="inlineStr">
        <is>
          <t>src/linking/fuzzy.ts -- extractFuzzyLinks() only calls Haiku for PRs no rule-based source matched, offers the connected project's issue titles as candidates, discards &lt;0.5 confidence and any hallucinated key not in the offered list. linkSource always 'fuzzy' -- D1/D2/D6 already exclude fuzzy from their linking gate (drift-rules-spec.md), so this can only ever support Medium/Low findings, never drive a High one. Wired into resolveLinksWithFuzzy()/cli/sync.ts as opt-in: only runs when ANTHROPIC_API_KEY is set, otherwise npm run sync stays on the existing synchronous rule-based-only path. 9 fixture tests (TP/boundary/FP-trap/resolution + prompt-parsing edge cases) against a mocked FuzzyLinkerClient, no live API calls in CI.</t>
        </is>
      </c>
    </row>
    <row r="24" ht="15" customHeight="1" s="24">
      <c r="A24" s="41" t="inlineStr">
        <is>
          <t>B20</t>
        </is>
      </c>
      <c r="B24" s="42" t="inlineStr">
        <is>
          <t>Drift engine</t>
        </is>
      </c>
      <c r="C24" s="42" t="inlineStr">
        <is>
          <t>D4 Orphan work + project-key filter</t>
        </is>
      </c>
      <c r="D24" s="42" t="inlineStr">
        <is>
          <t>D4</t>
        </is>
      </c>
      <c r="E24" s="42" t="inlineStr">
        <is>
          <t>P4</t>
        </is>
      </c>
      <c r="F24" s="42" t="inlineStr">
        <is>
          <t>S</t>
        </is>
      </c>
      <c r="G24" s="42" t="inlineStr">
        <is>
          <t>B9</t>
        </is>
      </c>
      <c r="H24" s="43" t="inlineStr">
        <is>
          <t>Done</t>
        </is>
      </c>
      <c r="I24" s="43" t="inlineStr">
        <is>
          <t>src/rules/d4.ts -- Orphan work: branch/commit-ref link (any confidence) references an issue not in the active sprint, unassigned, or terminal, with activity in the last 2 business days. 4 fixture tests (test/rules/d4.test.ts).</t>
        </is>
      </c>
    </row>
    <row r="25" ht="15" customHeight="1" s="24">
      <c r="A25" s="41" t="inlineStr">
        <is>
          <t>B21</t>
        </is>
      </c>
      <c r="B25" s="42" t="inlineStr">
        <is>
          <t>Drift engine</t>
        </is>
      </c>
      <c r="C25" s="42" t="inlineStr">
        <is>
          <t>D5 Review overload + solo/shared reviewer weighting</t>
        </is>
      </c>
      <c r="D25" s="42" t="inlineStr">
        <is>
          <t>D5</t>
        </is>
      </c>
      <c r="E25" s="42" t="inlineStr">
        <is>
          <t>P4</t>
        </is>
      </c>
      <c r="F25" s="42" t="inlineStr">
        <is>
          <t>S</t>
        </is>
      </c>
      <c r="G25" s="42" t="inlineStr">
        <is>
          <t>B9</t>
        </is>
      </c>
      <c r="H25" s="43" t="inlineStr">
        <is>
          <t>Done</t>
        </is>
      </c>
      <c r="I25" s="43" t="inlineStr">
        <is>
          <t>src/rules/d5.ts -- Review overload: reviewer weight (solo 1.0, shared 0.5, via PrReviewer.isSoloRequest) on open non-draft PRs &gt; 4 fires. 4 fixture tests (test/rules/d5.test.ts).</t>
        </is>
      </c>
    </row>
    <row r="26" ht="15" customHeight="1" s="24">
      <c r="A26" s="41" t="inlineStr">
        <is>
          <t>B22</t>
        </is>
      </c>
      <c r="B26" s="42" t="inlineStr">
        <is>
          <t>Drift engine</t>
        </is>
      </c>
      <c r="C26" s="42" t="inlineStr">
        <is>
          <t>D6 Red-but-moving + flaky-check allowlist</t>
        </is>
      </c>
      <c r="D26" s="42" t="inlineStr">
        <is>
          <t>D6</t>
        </is>
      </c>
      <c r="E26" s="42" t="inlineStr">
        <is>
          <t>P4</t>
        </is>
      </c>
      <c r="F26" s="42" t="inlineStr">
        <is>
          <t>S</t>
        </is>
      </c>
      <c r="G26" s="42" t="inlineStr">
        <is>
          <t>B9</t>
        </is>
      </c>
      <c r="H26" s="43" t="inlineStr">
        <is>
          <t>Done</t>
        </is>
      </c>
      <c r="I26" s="43" t="inlineStr">
        <is>
          <t>src/rules/d6.ts -- Red-but-moving: latest CI run on a linked PR (&gt;=0.8 conf, non-fuzzy) is failing and the issue's last transition is after the failure started; flaky-check allowlist supported. 'Forward' approximated via current statusCategory (in_progress/done), not a full workflow-order walk -- see README caveat. 4 fixture tests (test/rules/d6.test.ts).</t>
        </is>
      </c>
    </row>
    <row r="27" ht="15" customHeight="1" s="24">
      <c r="A27" s="41" t="inlineStr">
        <is>
          <t>B23</t>
        </is>
      </c>
      <c r="B27" s="42" t="inlineStr">
        <is>
          <t>Drift engine</t>
        </is>
      </c>
      <c r="C27" s="42" t="inlineStr">
        <is>
          <t>D7 Scope creep (sprint-level, once-per-crossing)</t>
        </is>
      </c>
      <c r="D27" s="42" t="inlineStr">
        <is>
          <t>D7</t>
        </is>
      </c>
      <c r="E27" s="42" t="inlineStr">
        <is>
          <t>P4</t>
        </is>
      </c>
      <c r="F27" s="42" t="inlineStr">
        <is>
          <t>S</t>
        </is>
      </c>
      <c r="G27" s="42" t="inlineStr">
        <is>
          <t>B9</t>
        </is>
      </c>
      <c r="H27" s="43" t="inlineStr">
        <is>
          <t>Done</t>
        </is>
      </c>
      <c r="I27" s="43" t="inlineStr">
        <is>
          <t>src/rules/d7.ts -- Scope creep: points added to the active sprint after start &gt; 20% of committed fires. NOT done: needs Issue.addedToSprintAt, which the B3 Jira connector doesn't populate yet (requires Sprint-field changelog parsing); added as an optional field, fixtures set it directly. Count-based fallback (non-estimating teams) also unimplemented -- Sprint model has no committed-issue-count baseline. 4 fixture tests (test/rules/d7.test.ts).</t>
        </is>
      </c>
    </row>
    <row r="28" ht="15" customHeight="1" s="24">
      <c r="A28" s="41" t="inlineStr">
        <is>
          <t>B24</t>
        </is>
      </c>
      <c r="B28" s="42" t="inlineStr">
        <is>
          <t>Drift engine</t>
        </is>
      </c>
      <c r="C28" s="42" t="inlineStr">
        <is>
          <t>D8 Stale board + D2 dedupe + blocked-status suppression</t>
        </is>
      </c>
      <c r="D28" s="42" t="inlineStr">
        <is>
          <t>D8</t>
        </is>
      </c>
      <c r="E28" s="42" t="inlineStr">
        <is>
          <t>P4</t>
        </is>
      </c>
      <c r="F28" s="42" t="inlineStr">
        <is>
          <t>S</t>
        </is>
      </c>
      <c r="G28" s="42" t="inlineStr">
        <is>
          <t>B9</t>
        </is>
      </c>
      <c r="H28" s="43" t="inlineStr">
        <is>
          <t>Done</t>
        </is>
      </c>
      <c r="I28" s="43" t="inlineStr">
        <is>
          <t>src/rules/d8.ts -- Stale board: sprint-active, non-terminal, non-blocked issue untouched (lastTouchedAt, which already carries comment activity, plus linked commits) for &gt;=4 business days; excludes issues D2 already flags via a shared isZombieInProgress predicate exported from d2.ts (rules don't call rules). 4 fixture tests (test/rules/d8.test.ts).</t>
        </is>
      </c>
    </row>
    <row r="29" ht="23.25" customHeight="1" s="24">
      <c r="A29" s="41" t="inlineStr">
        <is>
          <t>B25</t>
        </is>
      </c>
      <c r="B29" s="42" t="inlineStr">
        <is>
          <t>Drift engine</t>
        </is>
      </c>
      <c r="C29" s="42" t="inlineStr">
        <is>
          <t>Auto-resolve pass + finding lifecycle (open/corrected/ignored/snoozed)</t>
        </is>
      </c>
      <c r="D29" s="42" t="inlineStr">
        <is>
          <t>Rules §0</t>
        </is>
      </c>
      <c r="E29" s="42" t="inlineStr">
        <is>
          <t>P4</t>
        </is>
      </c>
      <c r="F29" s="42" t="inlineStr">
        <is>
          <t>M</t>
        </is>
      </c>
      <c r="G29" s="42" t="inlineStr">
        <is>
          <t>B10</t>
        </is>
      </c>
      <c r="H29" s="43" t="inlineStr">
        <is>
          <t>Done</t>
        </is>
      </c>
      <c r="I29" s="43" t="inlineStr">
        <is>
          <t>src/db/findings.ts persistFindings() -- already built (as part of B27's query-service work, untracked until now) and wired into src/cli/drift.ts. Inserts fresh findings as open (ON CONFLICT upsert on team_id+dedupe_key, one open row per key), flips any previously-open finding the current rule run no longer produces to corrected + resolved_at=now(). Verified live: ran drift (4 open incl. D1:NOVA-129), re-synced with ASOF_DEMO_PHASE=2 (PR #84 merged), re-ran drift -- D1:NOVA-129 flipped to corrected, detected_at preserved, resolved_at stamped, and the brief correctly rendered it under Since Yesterday / Resolved. NOT done: ignored/snoozed transitions -- those need a feedback action (B35), not built yet.</t>
        </is>
      </c>
    </row>
    <row r="30" ht="23.25" customHeight="1" s="24">
      <c r="A30" s="41" t="inlineStr">
        <is>
          <t>B26</t>
        </is>
      </c>
      <c r="B30" s="42" t="inlineStr">
        <is>
          <t>Drift engine</t>
        </is>
      </c>
      <c r="C30" s="42" t="inlineStr">
        <is>
          <t>Per-team rule config API + defaults from onboarding workflow mapping</t>
        </is>
      </c>
      <c r="D30" s="42" t="inlineStr">
        <is>
          <t>Config table</t>
        </is>
      </c>
      <c r="E30" s="42" t="inlineStr">
        <is>
          <t>P4</t>
        </is>
      </c>
      <c r="F30" s="42" t="inlineStr">
        <is>
          <t>M</t>
        </is>
      </c>
      <c r="G30" s="42" t="inlineStr">
        <is>
          <t>B25</t>
        </is>
      </c>
      <c r="H30" s="43" t="inlineStr">
        <is>
          <t>Not Started</t>
        </is>
      </c>
      <c r="I30" s="43" t="n"/>
    </row>
    <row r="31" ht="23.25" customHeight="1" s="24">
      <c r="A31" s="41" t="inlineStr">
        <is>
          <t>B27</t>
        </is>
      </c>
      <c r="B31" s="42" t="inlineStr">
        <is>
          <t>Query service</t>
        </is>
      </c>
      <c r="C31" s="42" t="inlineStr">
        <is>
          <t>Typed read functions: get_drift_findings, get_person_state, get_sprint_state, get_changes_since</t>
        </is>
      </c>
      <c r="D31" s="42" t="inlineStr">
        <is>
          <t>§6</t>
        </is>
      </c>
      <c r="E31" s="42" t="inlineStr">
        <is>
          <t>P4</t>
        </is>
      </c>
      <c r="F31" s="42" t="inlineStr">
        <is>
          <t>M</t>
        </is>
      </c>
      <c r="G31" s="42" t="inlineStr">
        <is>
          <t>B17</t>
        </is>
      </c>
      <c r="H31" s="43" t="inlineStr">
        <is>
          <t>Done</t>
        </is>
      </c>
      <c r="I31" s="43" t="inlineStr">
        <is>
          <t>src/api/server.ts + routes/{today,standup}.ts (Fastify) -- GET /api/today, GET /api/standup, backed by db/repository.ts, db/findings.ts, and new db/personState.ts (per-person Shipped/In-flight/Flags, computed on the fly, no stored aggregate -- invariant #5). Verified live via curl and browser.</t>
        </is>
      </c>
    </row>
    <row r="32" ht="23.25" customHeight="1" s="24">
      <c r="A32" s="41" t="inlineStr">
        <is>
          <t>B28</t>
        </is>
      </c>
      <c r="B32" s="42" t="inlineStr">
        <is>
          <t>LLM layer</t>
        </is>
      </c>
      <c r="C32" s="42" t="inlineStr">
        <is>
          <t>Chat Q&amp;A: Claude tool-use over query service, SSE streaming, source-chip citations</t>
        </is>
      </c>
      <c r="D32" s="42" t="inlineStr">
        <is>
          <t>FR-4</t>
        </is>
      </c>
      <c r="E32" s="42" t="inlineStr">
        <is>
          <t>P4</t>
        </is>
      </c>
      <c r="F32" s="42" t="inlineStr">
        <is>
          <t>L</t>
        </is>
      </c>
      <c r="G32" s="42" t="inlineStr">
        <is>
          <t>B27</t>
        </is>
      </c>
      <c r="H32" s="43" t="inlineStr">
        <is>
          <t>Done</t>
        </is>
      </c>
      <c r="I32" s="43" t="inlineStr">
        <is>
          <t>Tested live in the user's real Chrome (mic permission actually granted there, unlike the sandboxed dev browser). Found + fixed 2 real bugs via live testing: (1) React 18 StrictMode dev double-effect-invocation left a shared pausedRef stuck true after mount, silently disabling continuous mode's auto-restart -- looked like 'mic stops working'; fixed by resetting the ref explicitly on every mount. (2) Wake-word matching was exact-only and Chrome frequently mishears 'Jarvis' (an uncommon name) as Jervis/Charvis/Garvis/etc, so 'Hey Jarvis' would transcribe correctly but silently fail to match and do nothing; fixed with a Levenshtein-distance-2 fuzzy fallback plus visible 'Heard: ...' UI feedback so a miss is diagnosable instead of silent. Both fixes verified against the real running app (not a test double) by capturing the live onresult handler and dispatching synthetic Chrome SpeechRecognitionEvent objects through it -- confirmed full wake -&gt; acknowledge -&gt; question -&gt; answer -&gt; speak cycle end to end.</t>
        </is>
      </c>
    </row>
    <row r="33" ht="15" customHeight="1" s="24">
      <c r="A33" s="41" t="inlineStr">
        <is>
          <t>B29</t>
        </is>
      </c>
      <c r="B33" s="42" t="inlineStr">
        <is>
          <t>LLM layer</t>
        </is>
      </c>
      <c r="C33" s="42" t="inlineStr">
        <is>
          <t>Brief generation job (daily 8:30 team-tz) + caching for cost ceiling</t>
        </is>
      </c>
      <c r="D33" s="42" t="inlineStr">
        <is>
          <t>FR-5, NFR-4</t>
        </is>
      </c>
      <c r="E33" s="42" t="inlineStr">
        <is>
          <t>P4</t>
        </is>
      </c>
      <c r="F33" s="42" t="inlineStr">
        <is>
          <t>M</t>
        </is>
      </c>
      <c r="G33" s="42" t="inlineStr">
        <is>
          <t>B13,B25</t>
        </is>
      </c>
      <c r="H33" s="43" t="inlineStr">
        <is>
          <t>Not Started</t>
        </is>
      </c>
      <c r="I33" s="43" t="n"/>
    </row>
    <row r="34" ht="23.25" customHeight="1" s="24">
      <c r="A34" s="41" t="inlineStr">
        <is>
          <t>B30</t>
        </is>
      </c>
      <c r="B34" s="42" t="inlineStr">
        <is>
          <t>Slack</t>
        </is>
      </c>
      <c r="C34" s="42" t="inlineStr">
        <is>
          <t>Slack app: post brief + High-severity flags; opt-in IC DMs with action buttons</t>
        </is>
      </c>
      <c r="D34" s="42" t="inlineStr">
        <is>
          <t>FR-5, §9</t>
        </is>
      </c>
      <c r="E34" s="42" t="inlineStr">
        <is>
          <t>P4</t>
        </is>
      </c>
      <c r="F34" s="42" t="inlineStr">
        <is>
          <t>M</t>
        </is>
      </c>
      <c r="G34" s="42" t="inlineStr">
        <is>
          <t>B29</t>
        </is>
      </c>
      <c r="H34" s="43" t="inlineStr">
        <is>
          <t>Not Started</t>
        </is>
      </c>
      <c r="I34" s="43" t="n"/>
    </row>
    <row r="35" ht="15" customHeight="1" s="24">
      <c r="A35" s="41" t="inlineStr">
        <is>
          <t>B31</t>
        </is>
      </c>
      <c r="B35" s="42" t="inlineStr">
        <is>
          <t>Frontend</t>
        </is>
      </c>
      <c r="C35" s="42" t="inlineStr">
        <is>
          <t>Today screen: live brief, risk cards, resolved ribbon</t>
        </is>
      </c>
      <c r="D35" s="42" t="inlineStr">
        <is>
          <t>§9 IA-1</t>
        </is>
      </c>
      <c r="E35" s="42" t="inlineStr">
        <is>
          <t>P4</t>
        </is>
      </c>
      <c r="F35" s="42" t="inlineStr">
        <is>
          <t>M</t>
        </is>
      </c>
      <c r="G35" s="42" t="inlineStr">
        <is>
          <t>B29</t>
        </is>
      </c>
      <c r="H35" s="43" t="inlineStr">
        <is>
          <t>Done</t>
        </is>
      </c>
      <c r="I35" s="43" t="inlineStr">
        <is>
          <t>apps/web (Vite+React+TS+Tailwind, npm workspace) -- Today screen: sprint clock, ranked findings w/ severity border + clickable evidence chips, since-yesterday, latest narrated brief. Verified in browser (Claude Browser tool), 0 console errors, prod build clean.</t>
        </is>
      </c>
    </row>
    <row r="36" ht="23.25" customHeight="1" s="24">
      <c r="A36" s="41" t="inlineStr">
        <is>
          <t>B32</t>
        </is>
      </c>
      <c r="B36" s="42" t="inlineStr">
        <is>
          <t>Frontend</t>
        </is>
      </c>
      <c r="C36" s="42" t="inlineStr">
        <is>
          <t>Standup screen: per-person Shipped/In-flight/Flags grid + Post to Slack</t>
        </is>
      </c>
      <c r="D36" s="42" t="inlineStr">
        <is>
          <t>FR-6</t>
        </is>
      </c>
      <c r="E36" s="42" t="inlineStr">
        <is>
          <t>P4</t>
        </is>
      </c>
      <c r="F36" s="42" t="inlineStr">
        <is>
          <t>M</t>
        </is>
      </c>
      <c r="G36" s="42" t="inlineStr">
        <is>
          <t>B27</t>
        </is>
      </c>
      <c r="H36" s="43" t="inlineStr">
        <is>
          <t>Done</t>
        </is>
      </c>
      <c r="I36" s="43" t="inlineStr">
        <is>
          <t>apps/web Standup screen: per-person grid (Shipped/In flight/Flags), all items link to real Jira/GitHub source URLs. 'Post to Slack' NOT built (needs B30 Slack app, not started) -- button omitted rather than stubbed non-functional.</t>
        </is>
      </c>
    </row>
    <row r="37" ht="15" customHeight="1" s="24">
      <c r="A37" s="41" t="inlineStr">
        <is>
          <t>B33</t>
        </is>
      </c>
      <c r="B37" s="42" t="inlineStr">
        <is>
          <t>Frontend</t>
        </is>
      </c>
      <c r="C37" s="42" t="inlineStr">
        <is>
          <t>Ask screen: streaming chat, source chips, suggested prompts</t>
        </is>
      </c>
      <c r="D37" s="42" t="inlineStr">
        <is>
          <t>FR-4</t>
        </is>
      </c>
      <c r="E37" s="42" t="inlineStr">
        <is>
          <t>P4</t>
        </is>
      </c>
      <c r="F37" s="42" t="inlineStr">
        <is>
          <t>M</t>
        </is>
      </c>
      <c r="G37" s="42" t="inlineStr">
        <is>
          <t>B28</t>
        </is>
      </c>
      <c r="H37" s="43" t="inlineStr">
        <is>
          <t>Not Started</t>
        </is>
      </c>
      <c r="I37" s="43" t="n"/>
    </row>
    <row r="38" ht="23.25" customHeight="1" s="24">
      <c r="A38" s="41" t="inlineStr">
        <is>
          <t>B34</t>
        </is>
      </c>
      <c r="B38" s="42" t="inlineStr">
        <is>
          <t>Frontend</t>
        </is>
      </c>
      <c r="C38" s="42" t="inlineStr">
        <is>
          <t>Settings: connections, user mapping, rule thresholds, transparency page, delete</t>
        </is>
      </c>
      <c r="D38" s="42" t="inlineStr">
        <is>
          <t>FR-7, FR-8</t>
        </is>
      </c>
      <c r="E38" s="42" t="inlineStr">
        <is>
          <t>P4</t>
        </is>
      </c>
      <c r="F38" s="42" t="inlineStr">
        <is>
          <t>L</t>
        </is>
      </c>
      <c r="G38" s="42" t="inlineStr">
        <is>
          <t>B26</t>
        </is>
      </c>
      <c r="H38" s="43" t="inlineStr">
        <is>
          <t>Not Started</t>
        </is>
      </c>
      <c r="I38" s="43" t="n"/>
    </row>
    <row r="39" ht="15" customHeight="1" s="24">
      <c r="A39" s="41" t="inlineStr">
        <is>
          <t>B35</t>
        </is>
      </c>
      <c r="B39" s="42" t="inlineStr">
        <is>
          <t>Feedback</t>
        </is>
      </c>
      <c r="C39" s="42" t="inlineStr">
        <is>
          <t>Correct/ignore/snooze actions + per-team suppression store</t>
        </is>
      </c>
      <c r="D39" s="42" t="inlineStr">
        <is>
          <t>FR-7</t>
        </is>
      </c>
      <c r="E39" s="42" t="inlineStr">
        <is>
          <t>P4</t>
        </is>
      </c>
      <c r="F39" s="42" t="inlineStr">
        <is>
          <t>M</t>
        </is>
      </c>
      <c r="G39" s="42" t="inlineStr">
        <is>
          <t>B25</t>
        </is>
      </c>
      <c r="H39" s="43" t="inlineStr">
        <is>
          <t>Done</t>
        </is>
      </c>
      <c r="I39" s="43" t="inlineStr">
        <is>
          <t>POST /api/findings/:id/feedback (src/api/routes/feedback.ts, src/db/findings.ts recordFeedback). ignore -&gt; finding.status='ignored' + permanent suppression row scoped to dedupe_key (persistFindings checks it before reopening). snooze -&gt; snoozed_until=+3 days (migrations/002_feedback_lifecycle.sql), persistFindings reopens the same row in place once expired. correct -&gt; logs feedback only, no status change. Frontend: FindingCard has Correct/Intentional-ignore/Snooze buttons; ignore/snooze remove the card live. Verified via curl and live in the running web app (ignored a card, watched it disappear, confirmed DB). Fixed a bug found along the way: drift.ts was printing raw rule output instead of the actual persisted-open findings, which silently diverged once suppression existed. NOT done: pattern-level suppression (only exact dedupe_key scope); suppression management UI (B34/Settings).</t>
        </is>
      </c>
    </row>
    <row r="40" ht="15" customHeight="1" s="24">
      <c r="A40" s="41" t="inlineStr">
        <is>
          <t>B36</t>
        </is>
      </c>
      <c r="B40" s="42" t="inlineStr">
        <is>
          <t>Testing</t>
        </is>
      </c>
      <c r="C40" s="42" t="inlineStr">
        <is>
          <t>32+ rule fixtures (TP, boundary, FP-trap, resolution per rule) in CI</t>
        </is>
      </c>
      <c r="D40" s="42" t="inlineStr">
        <is>
          <t>Rules test gate</t>
        </is>
      </c>
      <c r="E40" s="42" t="inlineStr">
        <is>
          <t>P4</t>
        </is>
      </c>
      <c r="F40" s="42" t="inlineStr">
        <is>
          <t>L</t>
        </is>
      </c>
      <c r="G40" s="42" t="inlineStr">
        <is>
          <t>B24</t>
        </is>
      </c>
      <c r="H40" s="43" t="inlineStr">
        <is>
          <t>Done</t>
        </is>
      </c>
      <c r="I40" s="43" t="inlineStr">
        <is>
          <t>35 fixture tests across D1-D8 (test/rules/*.test.ts), exceeds the 32 minimum, each rule has TP/boundary/FP-trap/resolution. .github/workflows/ci.yml already runs npm test (+typecheck, +lint) on push/PR to main. Untracked until now -- exit criteria were already met as of B20-B24.</t>
        </is>
      </c>
    </row>
    <row r="41" ht="15" customHeight="1" s="24">
      <c r="A41" s="41" t="inlineStr">
        <is>
          <t>B37</t>
        </is>
      </c>
      <c r="B41" s="42" t="inlineStr">
        <is>
          <t>Infra</t>
        </is>
      </c>
      <c r="C41" s="42" t="inlineStr">
        <is>
          <t>Fly.io/Railway deploy, Sentry, PostHog, secrets management</t>
        </is>
      </c>
      <c r="D41" s="42" t="inlineStr">
        <is>
          <t>§6</t>
        </is>
      </c>
      <c r="E41" s="42" t="inlineStr">
        <is>
          <t>P4</t>
        </is>
      </c>
      <c r="F41" s="42" t="inlineStr">
        <is>
          <t>M</t>
        </is>
      </c>
      <c r="G41" s="42" t="inlineStr">
        <is>
          <t>B1</t>
        </is>
      </c>
      <c r="H41" s="43" t="inlineStr">
        <is>
          <t>Not Started</t>
        </is>
      </c>
      <c r="I41" s="43" t="n"/>
    </row>
    <row r="42" ht="15" customHeight="1" s="24">
      <c r="A42" s="41" t="inlineStr">
        <is>
          <t>B38</t>
        </is>
      </c>
      <c r="B42" s="42" t="inlineStr">
        <is>
          <t>Infra</t>
        </is>
      </c>
      <c r="C42" s="42" t="inlineStr">
        <is>
          <t>Tenant purge job (&lt;= 24h) + audit of read scopes</t>
        </is>
      </c>
      <c r="D42" s="42" t="inlineStr">
        <is>
          <t>NFR-1</t>
        </is>
      </c>
      <c r="E42" s="42" t="inlineStr">
        <is>
          <t>P4</t>
        </is>
      </c>
      <c r="F42" s="42" t="inlineStr">
        <is>
          <t>M</t>
        </is>
      </c>
      <c r="G42" s="42" t="inlineStr">
        <is>
          <t>B37</t>
        </is>
      </c>
      <c r="H42" s="43" t="inlineStr">
        <is>
          <t>Not Started</t>
        </is>
      </c>
      <c r="I42" s="43" t="n"/>
    </row>
    <row r="44" ht="15" customHeight="1" s="24">
      <c r="A44" s="27" t="inlineStr">
        <is>
          <t>Backlog summary</t>
        </is>
      </c>
    </row>
    <row r="45" ht="15" customHeight="1" s="24">
      <c r="A45" s="45" t="inlineStr">
        <is>
          <t>P3 items done</t>
        </is>
      </c>
      <c r="B45" s="27">
        <f>COUNTIFS($E$5:$E$42,"P3",$H$5:$H$42,"Done")&amp;" / "&amp;COUNTIF($E$5:$E$42,"P3")</f>
        <v/>
      </c>
    </row>
    <row r="46" ht="15" customHeight="1" s="24">
      <c r="A46" s="45" t="inlineStr">
        <is>
          <t>P4 items done</t>
        </is>
      </c>
      <c r="B46" s="27">
        <f>COUNTIFS($E$5:$E$42,"P4",$H$5:$H$42,"Done")&amp;" / "&amp;COUNTIF($E$5:$E$42,"P4")</f>
        <v/>
      </c>
    </row>
  </sheetData>
  <conditionalFormatting sqref="H5:H300">
    <cfRule type="cellIs" rank="0" priority="2" equalAverage="0" operator="equal" aboveAverage="0" dxfId="0" text="" percent="0" bottom="0">
      <formula>"Done"</formula>
    </cfRule>
    <cfRule type="cellIs" rank="0" priority="3" equalAverage="0" operator="equal" aboveAverage="0" dxfId="1" text="" percent="0" bottom="0">
      <formula>"In Progress"</formula>
    </cfRule>
    <cfRule type="cellIs" rank="0" priority="4" equalAverage="0" operator="equal" aboveAverage="0" dxfId="2" text="" percent="0" bottom="0">
      <formula>"Blocked"</formula>
    </cfRule>
    <cfRule type="cellIs" rank="0" priority="5" equalAverage="0" operator="equal" aboveAverage="0" dxfId="3" text="" percent="0" bottom="0">
      <formula>"Not Started"</formula>
    </cfRule>
  </conditionalFormatting>
  <dataValidations count="1">
    <dataValidation sqref="H5:H300" showDropDown="0" showInputMessage="0" showErrorMessage="0" allowBlank="1" type="list" errorStyle="stop" operator="between">
      <formula1>"Not Started,In Progress,Blocked,Done"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2026-08-06T17:34:04Z</dcterms:created>
  <dcterms:modified xsi:type="dcterms:W3CDTF">2026-08-12T05:32:31Z</dcterms:modified>
  <cp:revision>0</cp:revision>
</cp:coreProperties>
</file>